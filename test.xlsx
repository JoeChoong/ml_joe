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0C4F2FA-64F5-499B-9B4B-626F78403C66}" xr6:coauthVersionLast="47" xr6:coauthVersionMax="47" xr10:uidLastSave="{00000000-0000-0000-0000-000000000000}"/>
  <bookViews>
    <workbookView xWindow="-108" yWindow="-108" windowWidth="23256" windowHeight="13896" xr2:uid="{62E54FD5-1E2D-47F2-A69E-DA419438C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7" i="1" l="1"/>
  <c r="T157" i="1" s="1"/>
  <c r="V157" i="1" s="1"/>
  <c r="W157" i="1" s="1"/>
  <c r="X157" i="1" s="1"/>
  <c r="U157" i="1"/>
  <c r="S157" i="1"/>
  <c r="K157" i="1"/>
  <c r="J157" i="1"/>
  <c r="Y156" i="1"/>
  <c r="U156" i="1"/>
  <c r="K156" i="1"/>
  <c r="J156" i="1"/>
  <c r="Y155" i="1"/>
  <c r="T155" i="1" s="1"/>
  <c r="U155" i="1"/>
  <c r="K155" i="1"/>
  <c r="J155" i="1"/>
  <c r="Y154" i="1"/>
  <c r="U154" i="1"/>
  <c r="V154" i="1" s="1"/>
  <c r="T154" i="1"/>
  <c r="S154" i="1"/>
  <c r="K154" i="1"/>
  <c r="J154" i="1"/>
  <c r="Y153" i="1"/>
  <c r="U153" i="1"/>
  <c r="V153" i="1" s="1"/>
  <c r="T153" i="1"/>
  <c r="S153" i="1"/>
  <c r="K153" i="1"/>
  <c r="J153" i="1"/>
  <c r="Y152" i="1"/>
  <c r="V152" i="1" s="1"/>
  <c r="W152" i="1" s="1"/>
  <c r="X152" i="1" s="1"/>
  <c r="U152" i="1"/>
  <c r="T152" i="1"/>
  <c r="S152" i="1"/>
  <c r="K152" i="1"/>
  <c r="J152" i="1"/>
  <c r="I152" i="1"/>
  <c r="Y151" i="1"/>
  <c r="V151" i="1"/>
  <c r="W151" i="1" s="1"/>
  <c r="X151" i="1" s="1"/>
  <c r="U151" i="1"/>
  <c r="T151" i="1"/>
  <c r="S151" i="1"/>
  <c r="Z151" i="1" s="1"/>
  <c r="K151" i="1"/>
  <c r="J151" i="1"/>
  <c r="I151" i="1"/>
  <c r="Y150" i="1"/>
  <c r="S150" i="1" s="1"/>
  <c r="U150" i="1"/>
  <c r="V150" i="1" s="1"/>
  <c r="W150" i="1" s="1"/>
  <c r="X150" i="1" s="1"/>
  <c r="T150" i="1"/>
  <c r="L150" i="1"/>
  <c r="K150" i="1"/>
  <c r="J150" i="1"/>
  <c r="I150" i="1"/>
  <c r="Y149" i="1"/>
  <c r="S149" i="1" s="1"/>
  <c r="U149" i="1"/>
  <c r="V149" i="1" s="1"/>
  <c r="W149" i="1" s="1"/>
  <c r="X149" i="1" s="1"/>
  <c r="T149" i="1"/>
  <c r="L149" i="1"/>
  <c r="K149" i="1"/>
  <c r="J149" i="1"/>
  <c r="I149" i="1"/>
  <c r="Y148" i="1"/>
  <c r="S148" i="1" s="1"/>
  <c r="U148" i="1"/>
  <c r="V148" i="1" s="1"/>
  <c r="W148" i="1" s="1"/>
  <c r="X148" i="1" s="1"/>
  <c r="T148" i="1"/>
  <c r="L148" i="1"/>
  <c r="K148" i="1"/>
  <c r="J148" i="1"/>
  <c r="I148" i="1"/>
  <c r="Y147" i="1"/>
  <c r="S147" i="1" s="1"/>
  <c r="U147" i="1"/>
  <c r="V147" i="1" s="1"/>
  <c r="W147" i="1" s="1"/>
  <c r="X147" i="1" s="1"/>
  <c r="T147" i="1"/>
  <c r="L147" i="1"/>
  <c r="K147" i="1"/>
  <c r="J147" i="1"/>
  <c r="I147" i="1"/>
  <c r="Y146" i="1"/>
  <c r="S146" i="1" s="1"/>
  <c r="Z146" i="1" s="1"/>
  <c r="U146" i="1"/>
  <c r="V146" i="1" s="1"/>
  <c r="W146" i="1" s="1"/>
  <c r="X146" i="1" s="1"/>
  <c r="T146" i="1"/>
  <c r="L146" i="1"/>
  <c r="K146" i="1"/>
  <c r="J146" i="1"/>
  <c r="I146" i="1"/>
  <c r="Y145" i="1"/>
  <c r="S145" i="1" s="1"/>
  <c r="U145" i="1"/>
  <c r="V145" i="1" s="1"/>
  <c r="W145" i="1" s="1"/>
  <c r="X145" i="1" s="1"/>
  <c r="T145" i="1"/>
  <c r="L145" i="1"/>
  <c r="K145" i="1"/>
  <c r="J145" i="1"/>
  <c r="I145" i="1"/>
  <c r="Y144" i="1"/>
  <c r="S144" i="1" s="1"/>
  <c r="Z144" i="1" s="1"/>
  <c r="U144" i="1"/>
  <c r="V144" i="1" s="1"/>
  <c r="W144" i="1" s="1"/>
  <c r="X144" i="1" s="1"/>
  <c r="T144" i="1"/>
  <c r="L144" i="1"/>
  <c r="K144" i="1"/>
  <c r="J144" i="1"/>
  <c r="I144" i="1"/>
  <c r="Y143" i="1"/>
  <c r="S143" i="1" s="1"/>
  <c r="U143" i="1"/>
  <c r="V143" i="1" s="1"/>
  <c r="W143" i="1" s="1"/>
  <c r="X143" i="1" s="1"/>
  <c r="T143" i="1"/>
  <c r="L143" i="1"/>
  <c r="K143" i="1"/>
  <c r="J143" i="1"/>
  <c r="I143" i="1"/>
  <c r="G143" i="1"/>
  <c r="F143" i="1"/>
  <c r="Y142" i="1"/>
  <c r="V142" i="1" s="1"/>
  <c r="W142" i="1" s="1"/>
  <c r="X142" i="1" s="1"/>
  <c r="U142" i="1"/>
  <c r="T142" i="1"/>
  <c r="S142" i="1"/>
  <c r="Z142" i="1" s="1"/>
  <c r="L142" i="1"/>
  <c r="K142" i="1"/>
  <c r="J142" i="1"/>
  <c r="I142" i="1"/>
  <c r="G142" i="1"/>
  <c r="F142" i="1"/>
  <c r="Y141" i="1"/>
  <c r="U141" i="1"/>
  <c r="T141" i="1"/>
  <c r="S141" i="1"/>
  <c r="L141" i="1"/>
  <c r="K141" i="1"/>
  <c r="J141" i="1"/>
  <c r="I141" i="1"/>
  <c r="G141" i="1"/>
  <c r="F141" i="1"/>
  <c r="Y140" i="1"/>
  <c r="U140" i="1"/>
  <c r="V140" i="1" s="1"/>
  <c r="T140" i="1"/>
  <c r="S140" i="1"/>
  <c r="P140" i="1"/>
  <c r="L140" i="1"/>
  <c r="K140" i="1"/>
  <c r="J140" i="1"/>
  <c r="I140" i="1"/>
  <c r="G140" i="1"/>
  <c r="F140" i="1"/>
  <c r="Y139" i="1"/>
  <c r="U139" i="1"/>
  <c r="L139" i="1"/>
  <c r="K139" i="1"/>
  <c r="J139" i="1"/>
  <c r="I139" i="1"/>
  <c r="G139" i="1"/>
  <c r="F139" i="1"/>
  <c r="Y138" i="1"/>
  <c r="U138" i="1"/>
  <c r="L138" i="1"/>
  <c r="K138" i="1"/>
  <c r="J138" i="1"/>
  <c r="I138" i="1"/>
  <c r="G138" i="1"/>
  <c r="F138" i="1"/>
  <c r="Y137" i="1"/>
  <c r="V137" i="1"/>
  <c r="W137" i="1" s="1"/>
  <c r="X137" i="1" s="1"/>
  <c r="U137" i="1"/>
  <c r="T137" i="1"/>
  <c r="S137" i="1"/>
  <c r="Z137" i="1" s="1"/>
  <c r="L137" i="1"/>
  <c r="K137" i="1"/>
  <c r="J137" i="1"/>
  <c r="I137" i="1"/>
  <c r="G137" i="1"/>
  <c r="F137" i="1"/>
  <c r="Y136" i="1"/>
  <c r="U136" i="1"/>
  <c r="V136" i="1" s="1"/>
  <c r="W136" i="1" s="1"/>
  <c r="X136" i="1" s="1"/>
  <c r="T136" i="1"/>
  <c r="S136" i="1"/>
  <c r="Z136" i="1" s="1"/>
  <c r="P136" i="1"/>
  <c r="L136" i="1"/>
  <c r="K136" i="1"/>
  <c r="J136" i="1"/>
  <c r="I136" i="1"/>
  <c r="G136" i="1"/>
  <c r="F136" i="1"/>
  <c r="Y135" i="1"/>
  <c r="S135" i="1" s="1"/>
  <c r="U135" i="1"/>
  <c r="V135" i="1" s="1"/>
  <c r="W135" i="1" s="1"/>
  <c r="X135" i="1" s="1"/>
  <c r="T135" i="1"/>
  <c r="L135" i="1"/>
  <c r="K135" i="1"/>
  <c r="J135" i="1"/>
  <c r="I135" i="1"/>
  <c r="G135" i="1"/>
  <c r="F135" i="1"/>
  <c r="Y134" i="1"/>
  <c r="S134" i="1" s="1"/>
  <c r="U134" i="1"/>
  <c r="T134" i="1"/>
  <c r="V134" i="1" s="1"/>
  <c r="W134" i="1" s="1"/>
  <c r="X134" i="1" s="1"/>
  <c r="L134" i="1"/>
  <c r="K134" i="1"/>
  <c r="J134" i="1"/>
  <c r="I134" i="1"/>
  <c r="G134" i="1"/>
  <c r="F134" i="1"/>
  <c r="Y133" i="1"/>
  <c r="U133" i="1"/>
  <c r="L133" i="1"/>
  <c r="I133" i="1"/>
  <c r="Y132" i="1"/>
  <c r="U132" i="1"/>
  <c r="L132" i="1"/>
  <c r="K132" i="1"/>
  <c r="N132" i="1" s="1"/>
  <c r="J132" i="1"/>
  <c r="I132" i="1"/>
  <c r="G132" i="1"/>
  <c r="F132" i="1"/>
  <c r="L131" i="1"/>
  <c r="K131" i="1"/>
  <c r="N131" i="1" s="1"/>
  <c r="J131" i="1"/>
  <c r="I131" i="1"/>
  <c r="G131" i="1"/>
  <c r="F131" i="1"/>
  <c r="L130" i="1"/>
  <c r="K130" i="1"/>
  <c r="N130" i="1" s="1"/>
  <c r="J130" i="1"/>
  <c r="I130" i="1"/>
  <c r="G130" i="1"/>
  <c r="F130" i="1"/>
  <c r="L129" i="1"/>
  <c r="K129" i="1"/>
  <c r="N129" i="1" s="1"/>
  <c r="J129" i="1"/>
  <c r="I129" i="1"/>
  <c r="G129" i="1"/>
  <c r="F129" i="1"/>
  <c r="N128" i="1"/>
  <c r="L128" i="1"/>
  <c r="K128" i="1"/>
  <c r="J128" i="1"/>
  <c r="I128" i="1"/>
  <c r="G128" i="1"/>
  <c r="F128" i="1"/>
  <c r="N127" i="1"/>
  <c r="L127" i="1"/>
  <c r="K127" i="1"/>
  <c r="J127" i="1"/>
  <c r="I127" i="1"/>
  <c r="G127" i="1"/>
  <c r="F127" i="1"/>
  <c r="L126" i="1"/>
  <c r="K126" i="1"/>
  <c r="N126" i="1" s="1"/>
  <c r="J126" i="1"/>
  <c r="I126" i="1"/>
  <c r="G126" i="1"/>
  <c r="F126" i="1"/>
  <c r="N125" i="1"/>
  <c r="L125" i="1"/>
  <c r="K125" i="1"/>
  <c r="J125" i="1"/>
  <c r="I125" i="1"/>
  <c r="G125" i="1"/>
  <c r="F125" i="1"/>
  <c r="N124" i="1"/>
  <c r="L124" i="1"/>
  <c r="K124" i="1"/>
  <c r="J124" i="1"/>
  <c r="I124" i="1"/>
  <c r="G124" i="1"/>
  <c r="F124" i="1"/>
  <c r="N123" i="1"/>
  <c r="L123" i="1"/>
  <c r="K123" i="1"/>
  <c r="J123" i="1"/>
  <c r="I123" i="1"/>
  <c r="G123" i="1"/>
  <c r="F123" i="1"/>
  <c r="L122" i="1"/>
  <c r="K122" i="1"/>
  <c r="N122" i="1" s="1"/>
  <c r="J122" i="1"/>
  <c r="I122" i="1"/>
  <c r="G122" i="1"/>
  <c r="F122" i="1"/>
  <c r="N121" i="1"/>
  <c r="L121" i="1"/>
  <c r="K121" i="1"/>
  <c r="J121" i="1"/>
  <c r="I121" i="1"/>
  <c r="G121" i="1"/>
  <c r="F121" i="1"/>
  <c r="L120" i="1"/>
  <c r="K120" i="1"/>
  <c r="N120" i="1" s="1"/>
  <c r="J120" i="1"/>
  <c r="I120" i="1"/>
  <c r="G120" i="1"/>
  <c r="F120" i="1"/>
  <c r="L119" i="1"/>
  <c r="K119" i="1"/>
  <c r="N119" i="1" s="1"/>
  <c r="J119" i="1"/>
  <c r="I119" i="1"/>
  <c r="G119" i="1"/>
  <c r="F119" i="1"/>
  <c r="L118" i="1"/>
  <c r="K118" i="1"/>
  <c r="N118" i="1" s="1"/>
  <c r="J118" i="1"/>
  <c r="I118" i="1"/>
  <c r="G118" i="1"/>
  <c r="F118" i="1"/>
  <c r="N117" i="1"/>
  <c r="L117" i="1"/>
  <c r="K117" i="1"/>
  <c r="J117" i="1"/>
  <c r="I117" i="1"/>
  <c r="G117" i="1"/>
  <c r="F117" i="1"/>
  <c r="N116" i="1"/>
  <c r="L116" i="1"/>
  <c r="K116" i="1"/>
  <c r="J116" i="1"/>
  <c r="I116" i="1"/>
  <c r="G116" i="1"/>
  <c r="F116" i="1"/>
  <c r="N115" i="1"/>
  <c r="L115" i="1"/>
  <c r="K115" i="1"/>
  <c r="J115" i="1"/>
  <c r="I115" i="1"/>
  <c r="G115" i="1"/>
  <c r="F115" i="1"/>
  <c r="L114" i="1"/>
  <c r="K114" i="1"/>
  <c r="N114" i="1" s="1"/>
  <c r="J114" i="1"/>
  <c r="I114" i="1"/>
  <c r="G114" i="1"/>
  <c r="F114" i="1"/>
  <c r="L113" i="1"/>
  <c r="K113" i="1"/>
  <c r="N113" i="1" s="1"/>
  <c r="J113" i="1"/>
  <c r="I113" i="1"/>
  <c r="G113" i="1"/>
  <c r="F113" i="1"/>
  <c r="N112" i="1"/>
  <c r="L112" i="1"/>
  <c r="K112" i="1"/>
  <c r="J112" i="1"/>
  <c r="I112" i="1"/>
  <c r="G112" i="1"/>
  <c r="F112" i="1"/>
  <c r="L111" i="1"/>
  <c r="K111" i="1"/>
  <c r="N111" i="1" s="1"/>
  <c r="J111" i="1"/>
  <c r="I111" i="1"/>
  <c r="G111" i="1"/>
  <c r="F111" i="1"/>
  <c r="L110" i="1"/>
  <c r="K110" i="1"/>
  <c r="N110" i="1" s="1"/>
  <c r="J110" i="1"/>
  <c r="I110" i="1"/>
  <c r="G110" i="1"/>
  <c r="F110" i="1"/>
  <c r="N109" i="1"/>
  <c r="L109" i="1"/>
  <c r="K109" i="1"/>
  <c r="J109" i="1"/>
  <c r="I109" i="1"/>
  <c r="G109" i="1"/>
  <c r="F109" i="1"/>
  <c r="L108" i="1"/>
  <c r="K108" i="1"/>
  <c r="N108" i="1" s="1"/>
  <c r="J108" i="1"/>
  <c r="I108" i="1"/>
  <c r="G108" i="1"/>
  <c r="F108" i="1"/>
  <c r="O107" i="1"/>
  <c r="N107" i="1"/>
  <c r="L107" i="1"/>
  <c r="K107" i="1"/>
  <c r="J107" i="1"/>
  <c r="I107" i="1"/>
  <c r="G107" i="1"/>
  <c r="F107" i="1"/>
  <c r="L106" i="1"/>
  <c r="K106" i="1"/>
  <c r="N106" i="1" s="1"/>
  <c r="J106" i="1"/>
  <c r="I106" i="1"/>
  <c r="G106" i="1"/>
  <c r="F106" i="1"/>
  <c r="L105" i="1"/>
  <c r="K105" i="1"/>
  <c r="N105" i="1" s="1"/>
  <c r="J105" i="1"/>
  <c r="I105" i="1"/>
  <c r="G105" i="1"/>
  <c r="F105" i="1"/>
  <c r="N104" i="1"/>
  <c r="L104" i="1"/>
  <c r="K104" i="1"/>
  <c r="J104" i="1"/>
  <c r="I104" i="1"/>
  <c r="G104" i="1"/>
  <c r="F104" i="1"/>
  <c r="L103" i="1"/>
  <c r="K103" i="1"/>
  <c r="N103" i="1" s="1"/>
  <c r="J103" i="1"/>
  <c r="I103" i="1"/>
  <c r="G103" i="1"/>
  <c r="F103" i="1"/>
  <c r="N102" i="1"/>
  <c r="L102" i="1"/>
  <c r="K102" i="1"/>
  <c r="J102" i="1"/>
  <c r="I102" i="1"/>
  <c r="G102" i="1"/>
  <c r="F102" i="1"/>
  <c r="P101" i="1"/>
  <c r="L101" i="1"/>
  <c r="K101" i="1"/>
  <c r="N101" i="1" s="1"/>
  <c r="J101" i="1"/>
  <c r="I101" i="1"/>
  <c r="G101" i="1"/>
  <c r="F101" i="1"/>
  <c r="P100" i="1"/>
  <c r="N100" i="1"/>
  <c r="L100" i="1"/>
  <c r="K100" i="1"/>
  <c r="J100" i="1"/>
  <c r="I100" i="1"/>
  <c r="G100" i="1"/>
  <c r="F100" i="1"/>
  <c r="U99" i="1"/>
  <c r="V99" i="1" s="1"/>
  <c r="W99" i="1" s="1"/>
  <c r="X99" i="1" s="1"/>
  <c r="P99" i="1"/>
  <c r="N99" i="1"/>
  <c r="L99" i="1"/>
  <c r="K99" i="1"/>
  <c r="J99" i="1"/>
  <c r="I99" i="1"/>
  <c r="G99" i="1"/>
  <c r="F99" i="1"/>
  <c r="U98" i="1"/>
  <c r="V98" i="1" s="1"/>
  <c r="W98" i="1" s="1"/>
  <c r="X98" i="1" s="1"/>
  <c r="P98" i="1"/>
  <c r="N98" i="1"/>
  <c r="L98" i="1"/>
  <c r="K98" i="1"/>
  <c r="J98" i="1"/>
  <c r="I98" i="1"/>
  <c r="G98" i="1"/>
  <c r="F98" i="1"/>
  <c r="V97" i="1"/>
  <c r="W97" i="1" s="1"/>
  <c r="X97" i="1" s="1"/>
  <c r="U97" i="1"/>
  <c r="P97" i="1"/>
  <c r="N97" i="1"/>
  <c r="L97" i="1"/>
  <c r="K97" i="1"/>
  <c r="J97" i="1"/>
  <c r="I97" i="1"/>
  <c r="G97" i="1"/>
  <c r="F97" i="1"/>
  <c r="U96" i="1"/>
  <c r="V96" i="1" s="1"/>
  <c r="W96" i="1" s="1"/>
  <c r="X96" i="1" s="1"/>
  <c r="P96" i="1"/>
  <c r="N96" i="1"/>
  <c r="L96" i="1"/>
  <c r="K96" i="1"/>
  <c r="J96" i="1"/>
  <c r="I96" i="1"/>
  <c r="G96" i="1"/>
  <c r="F96" i="1"/>
  <c r="U95" i="1"/>
  <c r="V95" i="1" s="1"/>
  <c r="W95" i="1" s="1"/>
  <c r="X95" i="1" s="1"/>
  <c r="N95" i="1"/>
  <c r="L95" i="1"/>
  <c r="K95" i="1"/>
  <c r="J95" i="1"/>
  <c r="P95" i="1" s="1"/>
  <c r="I95" i="1"/>
  <c r="G95" i="1"/>
  <c r="F95" i="1"/>
  <c r="V94" i="1"/>
  <c r="W94" i="1" s="1"/>
  <c r="X94" i="1" s="1"/>
  <c r="U94" i="1"/>
  <c r="P94" i="1"/>
  <c r="N94" i="1"/>
  <c r="L94" i="1"/>
  <c r="K94" i="1"/>
  <c r="J94" i="1"/>
  <c r="I94" i="1"/>
  <c r="G94" i="1"/>
  <c r="F94" i="1"/>
  <c r="U93" i="1"/>
  <c r="V93" i="1" s="1"/>
  <c r="W93" i="1" s="1"/>
  <c r="X93" i="1" s="1"/>
  <c r="N93" i="1"/>
  <c r="L93" i="1"/>
  <c r="K93" i="1"/>
  <c r="J93" i="1"/>
  <c r="P93" i="1" s="1"/>
  <c r="I93" i="1"/>
  <c r="G93" i="1"/>
  <c r="F93" i="1"/>
  <c r="U92" i="1"/>
  <c r="V92" i="1" s="1"/>
  <c r="W92" i="1" s="1"/>
  <c r="X92" i="1" s="1"/>
  <c r="P92" i="1"/>
  <c r="N92" i="1"/>
  <c r="L92" i="1"/>
  <c r="K92" i="1"/>
  <c r="J92" i="1"/>
  <c r="I92" i="1"/>
  <c r="G92" i="1"/>
  <c r="F92" i="1"/>
  <c r="P91" i="1"/>
  <c r="L91" i="1"/>
  <c r="K91" i="1"/>
  <c r="N91" i="1" s="1"/>
  <c r="J91" i="1"/>
  <c r="I91" i="1"/>
  <c r="G91" i="1"/>
  <c r="F91" i="1"/>
  <c r="P90" i="1"/>
  <c r="N90" i="1"/>
  <c r="L90" i="1"/>
  <c r="K90" i="1"/>
  <c r="J90" i="1"/>
  <c r="I90" i="1"/>
  <c r="G90" i="1"/>
  <c r="F90" i="1"/>
  <c r="P89" i="1"/>
  <c r="N89" i="1"/>
  <c r="L89" i="1"/>
  <c r="K89" i="1"/>
  <c r="J89" i="1"/>
  <c r="I89" i="1"/>
  <c r="G89" i="1"/>
  <c r="F89" i="1"/>
  <c r="P88" i="1"/>
  <c r="L88" i="1"/>
  <c r="K88" i="1"/>
  <c r="N88" i="1" s="1"/>
  <c r="J88" i="1"/>
  <c r="I88" i="1"/>
  <c r="G88" i="1"/>
  <c r="F88" i="1"/>
  <c r="P87" i="1"/>
  <c r="L87" i="1"/>
  <c r="K87" i="1"/>
  <c r="N87" i="1" s="1"/>
  <c r="J87" i="1"/>
  <c r="I87" i="1"/>
  <c r="G87" i="1"/>
  <c r="F87" i="1"/>
  <c r="X86" i="1"/>
  <c r="W86" i="1"/>
  <c r="P86" i="1"/>
  <c r="L86" i="1"/>
  <c r="K86" i="1"/>
  <c r="N86" i="1" s="1"/>
  <c r="J86" i="1"/>
  <c r="I86" i="1"/>
  <c r="G86" i="1"/>
  <c r="F86" i="1"/>
  <c r="P85" i="1"/>
  <c r="N85" i="1"/>
  <c r="L85" i="1"/>
  <c r="K85" i="1"/>
  <c r="J85" i="1"/>
  <c r="I85" i="1"/>
  <c r="G85" i="1"/>
  <c r="F85" i="1"/>
  <c r="P84" i="1"/>
  <c r="N84" i="1"/>
  <c r="L84" i="1"/>
  <c r="K84" i="1"/>
  <c r="J84" i="1"/>
  <c r="I84" i="1"/>
  <c r="G84" i="1"/>
  <c r="F84" i="1"/>
  <c r="P83" i="1"/>
  <c r="L83" i="1"/>
  <c r="K83" i="1"/>
  <c r="N83" i="1" s="1"/>
  <c r="J83" i="1"/>
  <c r="I83" i="1"/>
  <c r="G83" i="1"/>
  <c r="F83" i="1"/>
  <c r="P82" i="1"/>
  <c r="N82" i="1"/>
  <c r="L82" i="1"/>
  <c r="K82" i="1"/>
  <c r="J82" i="1"/>
  <c r="I82" i="1"/>
  <c r="G82" i="1"/>
  <c r="F82" i="1"/>
  <c r="P81" i="1"/>
  <c r="N81" i="1"/>
  <c r="L81" i="1"/>
  <c r="K81" i="1"/>
  <c r="J81" i="1"/>
  <c r="I81" i="1"/>
  <c r="P80" i="1"/>
  <c r="N80" i="1"/>
  <c r="L80" i="1"/>
  <c r="K80" i="1"/>
  <c r="J80" i="1"/>
  <c r="I80" i="1"/>
  <c r="U79" i="1"/>
  <c r="P79" i="1"/>
  <c r="L79" i="1"/>
  <c r="K79" i="1"/>
  <c r="N79" i="1" s="1"/>
  <c r="J79" i="1"/>
  <c r="I79" i="1"/>
  <c r="P78" i="1"/>
  <c r="L78" i="1"/>
  <c r="K78" i="1"/>
  <c r="N78" i="1" s="1"/>
  <c r="J78" i="1"/>
  <c r="I78" i="1"/>
  <c r="P77" i="1"/>
  <c r="L77" i="1"/>
  <c r="K77" i="1"/>
  <c r="N77" i="1" s="1"/>
  <c r="J77" i="1"/>
  <c r="I77" i="1"/>
  <c r="P76" i="1"/>
  <c r="L76" i="1"/>
  <c r="K76" i="1"/>
  <c r="N76" i="1" s="1"/>
  <c r="J76" i="1"/>
  <c r="I76" i="1"/>
  <c r="P75" i="1"/>
  <c r="L75" i="1"/>
  <c r="K75" i="1"/>
  <c r="N75" i="1" s="1"/>
  <c r="J75" i="1"/>
  <c r="I75" i="1"/>
  <c r="P74" i="1"/>
  <c r="L74" i="1"/>
  <c r="K74" i="1"/>
  <c r="N74" i="1" s="1"/>
  <c r="J74" i="1"/>
  <c r="I74" i="1"/>
  <c r="P73" i="1"/>
  <c r="L73" i="1"/>
  <c r="K73" i="1"/>
  <c r="N73" i="1" s="1"/>
  <c r="J73" i="1"/>
  <c r="I73" i="1"/>
  <c r="P72" i="1"/>
  <c r="L72" i="1"/>
  <c r="K72" i="1"/>
  <c r="N72" i="1" s="1"/>
  <c r="J72" i="1"/>
  <c r="I72" i="1"/>
  <c r="P71" i="1"/>
  <c r="N71" i="1"/>
  <c r="L71" i="1"/>
  <c r="K71" i="1"/>
  <c r="J71" i="1"/>
  <c r="I71" i="1"/>
  <c r="P70" i="1"/>
  <c r="L70" i="1"/>
  <c r="K70" i="1"/>
  <c r="N70" i="1" s="1"/>
  <c r="J70" i="1"/>
  <c r="I70" i="1"/>
  <c r="P69" i="1"/>
  <c r="N69" i="1"/>
  <c r="L69" i="1"/>
  <c r="K69" i="1"/>
  <c r="J69" i="1"/>
  <c r="I69" i="1"/>
  <c r="U68" i="1"/>
  <c r="P68" i="1"/>
  <c r="L68" i="1"/>
  <c r="K68" i="1"/>
  <c r="N68" i="1" s="1"/>
  <c r="J68" i="1"/>
  <c r="I68" i="1"/>
  <c r="U67" i="1"/>
  <c r="P67" i="1"/>
  <c r="N67" i="1"/>
  <c r="L67" i="1"/>
  <c r="K67" i="1"/>
  <c r="J67" i="1"/>
  <c r="I67" i="1"/>
  <c r="U66" i="1"/>
  <c r="P66" i="1"/>
  <c r="L66" i="1"/>
  <c r="K66" i="1"/>
  <c r="N66" i="1" s="1"/>
  <c r="J66" i="1"/>
  <c r="I66" i="1"/>
  <c r="U65" i="1"/>
  <c r="P65" i="1"/>
  <c r="N65" i="1"/>
  <c r="L65" i="1"/>
  <c r="K65" i="1"/>
  <c r="J65" i="1"/>
  <c r="I65" i="1"/>
  <c r="U64" i="1"/>
  <c r="P64" i="1"/>
  <c r="L64" i="1"/>
  <c r="K64" i="1"/>
  <c r="N64" i="1" s="1"/>
  <c r="J64" i="1"/>
  <c r="I64" i="1"/>
  <c r="U63" i="1"/>
  <c r="P63" i="1"/>
  <c r="L63" i="1"/>
  <c r="K63" i="1"/>
  <c r="N63" i="1" s="1"/>
  <c r="J63" i="1"/>
  <c r="I63" i="1"/>
  <c r="U62" i="1"/>
  <c r="P62" i="1"/>
  <c r="L62" i="1"/>
  <c r="K62" i="1"/>
  <c r="N62" i="1" s="1"/>
  <c r="J62" i="1"/>
  <c r="I62" i="1"/>
  <c r="U61" i="1"/>
  <c r="P61" i="1"/>
  <c r="L61" i="1"/>
  <c r="K61" i="1"/>
  <c r="N61" i="1" s="1"/>
  <c r="J61" i="1"/>
  <c r="I61" i="1"/>
  <c r="U60" i="1"/>
  <c r="P60" i="1"/>
  <c r="N60" i="1"/>
  <c r="L60" i="1"/>
  <c r="K60" i="1"/>
  <c r="J60" i="1"/>
  <c r="I60" i="1"/>
  <c r="U59" i="1"/>
  <c r="P59" i="1"/>
  <c r="N59" i="1"/>
  <c r="L59" i="1"/>
  <c r="K59" i="1"/>
  <c r="J59" i="1"/>
  <c r="I59" i="1"/>
  <c r="U58" i="1"/>
  <c r="P58" i="1"/>
  <c r="N58" i="1"/>
  <c r="L58" i="1"/>
  <c r="K58" i="1"/>
  <c r="J58" i="1"/>
  <c r="I58" i="1"/>
  <c r="U57" i="1"/>
  <c r="P57" i="1"/>
  <c r="L57" i="1"/>
  <c r="K57" i="1"/>
  <c r="N57" i="1" s="1"/>
  <c r="J57" i="1"/>
  <c r="I57" i="1"/>
  <c r="U56" i="1"/>
  <c r="P56" i="1"/>
  <c r="L56" i="1"/>
  <c r="K56" i="1"/>
  <c r="N56" i="1" s="1"/>
  <c r="J56" i="1"/>
  <c r="I56" i="1"/>
  <c r="U55" i="1"/>
  <c r="P55" i="1"/>
  <c r="N55" i="1"/>
  <c r="L55" i="1"/>
  <c r="K55" i="1"/>
  <c r="J55" i="1"/>
  <c r="I55" i="1"/>
  <c r="U54" i="1"/>
  <c r="P54" i="1"/>
  <c r="L54" i="1"/>
  <c r="K54" i="1"/>
  <c r="N54" i="1" s="1"/>
  <c r="J54" i="1"/>
  <c r="I54" i="1"/>
  <c r="U53" i="1"/>
  <c r="P53" i="1"/>
  <c r="N53" i="1"/>
  <c r="L53" i="1"/>
  <c r="K53" i="1"/>
  <c r="J53" i="1"/>
  <c r="I53" i="1"/>
  <c r="U52" i="1"/>
  <c r="P52" i="1"/>
  <c r="N52" i="1"/>
  <c r="L52" i="1"/>
  <c r="K52" i="1"/>
  <c r="J52" i="1"/>
  <c r="I52" i="1"/>
  <c r="U51" i="1"/>
  <c r="P51" i="1"/>
  <c r="L51" i="1"/>
  <c r="K51" i="1"/>
  <c r="N51" i="1" s="1"/>
  <c r="J51" i="1"/>
  <c r="I51" i="1"/>
  <c r="U50" i="1"/>
  <c r="P50" i="1"/>
  <c r="L50" i="1"/>
  <c r="K50" i="1"/>
  <c r="N50" i="1" s="1"/>
  <c r="J50" i="1"/>
  <c r="I50" i="1"/>
  <c r="U49" i="1"/>
  <c r="P49" i="1"/>
  <c r="L49" i="1"/>
  <c r="K49" i="1"/>
  <c r="N49" i="1" s="1"/>
  <c r="J49" i="1"/>
  <c r="I49" i="1"/>
  <c r="U48" i="1"/>
  <c r="P48" i="1"/>
  <c r="N48" i="1"/>
  <c r="L48" i="1"/>
  <c r="K48" i="1"/>
  <c r="J48" i="1"/>
  <c r="I48" i="1"/>
  <c r="U47" i="1"/>
  <c r="P47" i="1"/>
  <c r="L47" i="1"/>
  <c r="K47" i="1"/>
  <c r="N47" i="1" s="1"/>
  <c r="J47" i="1"/>
  <c r="I47" i="1"/>
  <c r="U46" i="1"/>
  <c r="P46" i="1"/>
  <c r="N46" i="1"/>
  <c r="L46" i="1"/>
  <c r="K46" i="1"/>
  <c r="J46" i="1"/>
  <c r="I46" i="1"/>
  <c r="U45" i="1"/>
  <c r="P45" i="1"/>
  <c r="O45" i="1"/>
  <c r="N45" i="1"/>
  <c r="L45" i="1"/>
  <c r="K45" i="1"/>
  <c r="J45" i="1"/>
  <c r="I45" i="1"/>
  <c r="U44" i="1"/>
  <c r="P44" i="1"/>
  <c r="O44" i="1"/>
  <c r="N44" i="1"/>
  <c r="L44" i="1"/>
  <c r="K44" i="1"/>
  <c r="J44" i="1"/>
  <c r="I44" i="1"/>
  <c r="U43" i="1"/>
  <c r="P43" i="1"/>
  <c r="O43" i="1"/>
  <c r="N43" i="1"/>
  <c r="L43" i="1"/>
  <c r="K43" i="1"/>
  <c r="J43" i="1"/>
  <c r="I43" i="1"/>
  <c r="U42" i="1"/>
  <c r="P42" i="1"/>
  <c r="N42" i="1"/>
  <c r="L42" i="1"/>
  <c r="O42" i="1" s="1"/>
  <c r="K42" i="1"/>
  <c r="J42" i="1"/>
  <c r="I42" i="1"/>
  <c r="U41" i="1"/>
  <c r="P41" i="1"/>
  <c r="L41" i="1"/>
  <c r="O41" i="1" s="1"/>
  <c r="K41" i="1"/>
  <c r="N41" i="1" s="1"/>
  <c r="J41" i="1"/>
  <c r="I41" i="1"/>
  <c r="U40" i="1"/>
  <c r="P40" i="1"/>
  <c r="L40" i="1"/>
  <c r="O40" i="1" s="1"/>
  <c r="K40" i="1"/>
  <c r="N40" i="1" s="1"/>
  <c r="J40" i="1"/>
  <c r="I40" i="1"/>
  <c r="U39" i="1"/>
  <c r="P39" i="1"/>
  <c r="N39" i="1"/>
  <c r="L39" i="1"/>
  <c r="K39" i="1"/>
  <c r="J39" i="1"/>
  <c r="I39" i="1"/>
  <c r="O39" i="1" s="1"/>
  <c r="U38" i="1"/>
  <c r="P38" i="1"/>
  <c r="L38" i="1"/>
  <c r="K38" i="1"/>
  <c r="N38" i="1" s="1"/>
  <c r="J38" i="1"/>
  <c r="I38" i="1"/>
  <c r="G38" i="1"/>
  <c r="U37" i="1"/>
  <c r="P37" i="1"/>
  <c r="L37" i="1"/>
  <c r="O37" i="1" s="1"/>
  <c r="K37" i="1"/>
  <c r="N37" i="1" s="1"/>
  <c r="J37" i="1"/>
  <c r="I37" i="1"/>
  <c r="G37" i="1"/>
  <c r="U36" i="1"/>
  <c r="P36" i="1"/>
  <c r="N36" i="1"/>
  <c r="L36" i="1"/>
  <c r="K36" i="1"/>
  <c r="J36" i="1"/>
  <c r="I36" i="1"/>
  <c r="G36" i="1"/>
  <c r="U35" i="1"/>
  <c r="P35" i="1"/>
  <c r="L35" i="1"/>
  <c r="K35" i="1"/>
  <c r="N35" i="1" s="1"/>
  <c r="J35" i="1"/>
  <c r="I35" i="1"/>
  <c r="G35" i="1"/>
  <c r="U34" i="1"/>
  <c r="P34" i="1"/>
  <c r="L34" i="1"/>
  <c r="O34" i="1" s="1"/>
  <c r="K34" i="1"/>
  <c r="N34" i="1" s="1"/>
  <c r="J34" i="1"/>
  <c r="I34" i="1"/>
  <c r="G34" i="1"/>
  <c r="U33" i="1"/>
  <c r="P33" i="1"/>
  <c r="N33" i="1"/>
  <c r="L33" i="1"/>
  <c r="K33" i="1"/>
  <c r="J33" i="1"/>
  <c r="I33" i="1"/>
  <c r="U32" i="1"/>
  <c r="P32" i="1"/>
  <c r="L32" i="1"/>
  <c r="K32" i="1"/>
  <c r="N32" i="1" s="1"/>
  <c r="J32" i="1"/>
  <c r="I32" i="1"/>
  <c r="G32" i="1"/>
  <c r="U31" i="1"/>
  <c r="P31" i="1"/>
  <c r="L31" i="1"/>
  <c r="K31" i="1"/>
  <c r="N31" i="1" s="1"/>
  <c r="J31" i="1"/>
  <c r="I31" i="1"/>
  <c r="G31" i="1"/>
  <c r="U30" i="1"/>
  <c r="P30" i="1"/>
  <c r="L30" i="1"/>
  <c r="K30" i="1"/>
  <c r="N30" i="1" s="1"/>
  <c r="J30" i="1"/>
  <c r="I30" i="1"/>
  <c r="G30" i="1"/>
  <c r="U29" i="1"/>
  <c r="P29" i="1"/>
  <c r="L29" i="1"/>
  <c r="K29" i="1"/>
  <c r="N29" i="1" s="1"/>
  <c r="J29" i="1"/>
  <c r="I29" i="1"/>
  <c r="G29" i="1"/>
  <c r="U28" i="1"/>
  <c r="P28" i="1"/>
  <c r="L28" i="1"/>
  <c r="K28" i="1"/>
  <c r="N28" i="1" s="1"/>
  <c r="J28" i="1"/>
  <c r="I28" i="1"/>
  <c r="Q41" i="1" s="1"/>
  <c r="G28" i="1"/>
  <c r="U27" i="1"/>
  <c r="P27" i="1"/>
  <c r="L27" i="1"/>
  <c r="K27" i="1"/>
  <c r="N27" i="1" s="1"/>
  <c r="J27" i="1"/>
  <c r="I27" i="1"/>
  <c r="G27" i="1"/>
  <c r="U26" i="1"/>
  <c r="P26" i="1"/>
  <c r="L26" i="1"/>
  <c r="K26" i="1"/>
  <c r="N26" i="1" s="1"/>
  <c r="J26" i="1"/>
  <c r="I26" i="1"/>
  <c r="G26" i="1"/>
  <c r="U25" i="1"/>
  <c r="P25" i="1"/>
  <c r="N25" i="1"/>
  <c r="L25" i="1"/>
  <c r="O25" i="1" s="1"/>
  <c r="K25" i="1"/>
  <c r="J25" i="1"/>
  <c r="I25" i="1"/>
  <c r="G25" i="1"/>
  <c r="U24" i="1"/>
  <c r="P24" i="1"/>
  <c r="L24" i="1"/>
  <c r="K24" i="1"/>
  <c r="N24" i="1" s="1"/>
  <c r="J24" i="1"/>
  <c r="I24" i="1"/>
  <c r="G24" i="1"/>
  <c r="U23" i="1"/>
  <c r="P23" i="1"/>
  <c r="L23" i="1"/>
  <c r="K23" i="1"/>
  <c r="N23" i="1" s="1"/>
  <c r="J23" i="1"/>
  <c r="I23" i="1"/>
  <c r="G23" i="1"/>
  <c r="U22" i="1"/>
  <c r="P22" i="1"/>
  <c r="L22" i="1"/>
  <c r="O22" i="1" s="1"/>
  <c r="K22" i="1"/>
  <c r="N22" i="1" s="1"/>
  <c r="J22" i="1"/>
  <c r="I22" i="1"/>
  <c r="G22" i="1"/>
  <c r="P21" i="1"/>
  <c r="L21" i="1"/>
  <c r="K21" i="1"/>
  <c r="N21" i="1" s="1"/>
  <c r="J21" i="1"/>
  <c r="I21" i="1"/>
  <c r="Q45" i="1" s="1"/>
  <c r="G21" i="1"/>
  <c r="P20" i="1"/>
  <c r="O20" i="1"/>
  <c r="N20" i="1"/>
  <c r="L20" i="1"/>
  <c r="K20" i="1"/>
  <c r="J20" i="1"/>
  <c r="I20" i="1"/>
  <c r="G20" i="1"/>
  <c r="P19" i="1"/>
  <c r="L19" i="1"/>
  <c r="O19" i="1" s="1"/>
  <c r="K19" i="1"/>
  <c r="N19" i="1" s="1"/>
  <c r="J19" i="1"/>
  <c r="I19" i="1"/>
  <c r="G19" i="1"/>
  <c r="P18" i="1"/>
  <c r="L18" i="1"/>
  <c r="K18" i="1"/>
  <c r="N18" i="1" s="1"/>
  <c r="J18" i="1"/>
  <c r="R43" i="1" s="1"/>
  <c r="I18" i="1"/>
  <c r="G18" i="1"/>
  <c r="P17" i="1"/>
  <c r="O17" i="1"/>
  <c r="N17" i="1"/>
  <c r="L17" i="1"/>
  <c r="K17" i="1"/>
  <c r="J17" i="1"/>
  <c r="I17" i="1"/>
  <c r="G17" i="1"/>
  <c r="K16" i="1"/>
  <c r="J16" i="1"/>
  <c r="T15" i="1"/>
  <c r="K15" i="1"/>
  <c r="J15" i="1"/>
  <c r="T14" i="1"/>
  <c r="K14" i="1"/>
  <c r="J14" i="1"/>
  <c r="P13" i="1"/>
  <c r="K13" i="1"/>
  <c r="J13" i="1"/>
  <c r="K12" i="1"/>
  <c r="J12" i="1"/>
  <c r="K11" i="1"/>
  <c r="J11" i="1"/>
  <c r="K10" i="1"/>
  <c r="J10" i="1"/>
  <c r="L10" i="1" s="1"/>
  <c r="L9" i="1"/>
  <c r="J9" i="1"/>
  <c r="K9" i="1" s="1"/>
  <c r="J8" i="1"/>
  <c r="L8" i="1" s="1"/>
  <c r="J7" i="1"/>
  <c r="L7" i="1" s="1"/>
  <c r="G7" i="1"/>
  <c r="F7" i="1"/>
  <c r="L6" i="1"/>
  <c r="K6" i="1"/>
  <c r="J6" i="1"/>
  <c r="G6" i="1"/>
  <c r="F6" i="1"/>
  <c r="J5" i="1"/>
  <c r="G5" i="1"/>
  <c r="F5" i="1"/>
  <c r="J4" i="1"/>
  <c r="L4" i="1" s="1"/>
  <c r="G4" i="1"/>
  <c r="F4" i="1"/>
  <c r="S43" i="1" l="1"/>
  <c r="Z140" i="1"/>
  <c r="W140" i="1"/>
  <c r="X140" i="1" s="1"/>
  <c r="Z154" i="1"/>
  <c r="W154" i="1"/>
  <c r="X154" i="1" s="1"/>
  <c r="Z150" i="1"/>
  <c r="Z152" i="1"/>
  <c r="Q32" i="1"/>
  <c r="Q31" i="1"/>
  <c r="Q30" i="1"/>
  <c r="Q29" i="1"/>
  <c r="Q28" i="1"/>
  <c r="Q27" i="1"/>
  <c r="Q26" i="1"/>
  <c r="Q25" i="1"/>
  <c r="Q24" i="1"/>
  <c r="Q23" i="1"/>
  <c r="Q22" i="1"/>
  <c r="Q40" i="1"/>
  <c r="J133" i="1"/>
  <c r="P133" i="1" s="1"/>
  <c r="Z135" i="1"/>
  <c r="Z145" i="1"/>
  <c r="O28" i="1"/>
  <c r="O31" i="1"/>
  <c r="Z143" i="1"/>
  <c r="O24" i="1"/>
  <c r="T156" i="1"/>
  <c r="V156" i="1" s="1"/>
  <c r="W156" i="1" s="1"/>
  <c r="X156" i="1" s="1"/>
  <c r="S156" i="1"/>
  <c r="R45" i="1"/>
  <c r="S45" i="1" s="1"/>
  <c r="Z134" i="1"/>
  <c r="V141" i="1"/>
  <c r="Z141" i="1" s="1"/>
  <c r="K4" i="1"/>
  <c r="O18" i="1"/>
  <c r="R21" i="1"/>
  <c r="Q43" i="1"/>
  <c r="R44" i="1"/>
  <c r="K7" i="1"/>
  <c r="Q21" i="1"/>
  <c r="Z149" i="1"/>
  <c r="O23" i="1"/>
  <c r="T139" i="1"/>
  <c r="S139" i="1"/>
  <c r="V139" i="1"/>
  <c r="W139" i="1" s="1"/>
  <c r="X139" i="1" s="1"/>
  <c r="Z153" i="1"/>
  <c r="L5" i="1"/>
  <c r="K5" i="1"/>
  <c r="W153" i="1"/>
  <c r="X153" i="1" s="1"/>
  <c r="Z148" i="1"/>
  <c r="R38" i="1"/>
  <c r="R37" i="1"/>
  <c r="R36" i="1"/>
  <c r="R35" i="1"/>
  <c r="S35" i="1" s="1"/>
  <c r="R34" i="1"/>
  <c r="S34" i="1" s="1"/>
  <c r="R33" i="1"/>
  <c r="S33" i="1" s="1"/>
  <c r="R40" i="1"/>
  <c r="S40" i="1" s="1"/>
  <c r="R41" i="1"/>
  <c r="S41" i="1" s="1"/>
  <c r="O21" i="1"/>
  <c r="O33" i="1"/>
  <c r="O36" i="1"/>
  <c r="T133" i="1"/>
  <c r="V133" i="1" s="1"/>
  <c r="W133" i="1" s="1"/>
  <c r="X133" i="1" s="1"/>
  <c r="S133" i="1"/>
  <c r="O27" i="1"/>
  <c r="O30" i="1"/>
  <c r="Q44" i="1"/>
  <c r="Z147" i="1"/>
  <c r="R32" i="1"/>
  <c r="S32" i="1" s="1"/>
  <c r="O35" i="1"/>
  <c r="O38" i="1"/>
  <c r="Q42" i="1"/>
  <c r="O26" i="1"/>
  <c r="O29" i="1"/>
  <c r="O32" i="1"/>
  <c r="R42" i="1"/>
  <c r="S42" i="1" s="1"/>
  <c r="T132" i="1"/>
  <c r="V132" i="1" s="1"/>
  <c r="W132" i="1" s="1"/>
  <c r="X132" i="1" s="1"/>
  <c r="S132" i="1"/>
  <c r="V138" i="1"/>
  <c r="W138" i="1" s="1"/>
  <c r="X138" i="1" s="1"/>
  <c r="T138" i="1"/>
  <c r="S138" i="1"/>
  <c r="V155" i="1"/>
  <c r="W155" i="1" s="1"/>
  <c r="X155" i="1" s="1"/>
  <c r="K8" i="1"/>
  <c r="Q39" i="1"/>
  <c r="Q33" i="1"/>
  <c r="Q34" i="1"/>
  <c r="Q35" i="1"/>
  <c r="Q36" i="1"/>
  <c r="Q37" i="1"/>
  <c r="Q38" i="1"/>
  <c r="R39" i="1"/>
  <c r="S39" i="1" s="1"/>
  <c r="R22" i="1"/>
  <c r="R23" i="1"/>
  <c r="R24" i="1"/>
  <c r="R25" i="1"/>
  <c r="S25" i="1" s="1"/>
  <c r="R26" i="1"/>
  <c r="S26" i="1" s="1"/>
  <c r="R27" i="1"/>
  <c r="S27" i="1" s="1"/>
  <c r="R28" i="1"/>
  <c r="S28" i="1" s="1"/>
  <c r="R29" i="1"/>
  <c r="R30" i="1"/>
  <c r="R31" i="1"/>
  <c r="S31" i="1" s="1"/>
  <c r="S155" i="1"/>
  <c r="Z155" i="1" s="1"/>
  <c r="Z139" i="1" l="1"/>
  <c r="Z132" i="1"/>
  <c r="S29" i="1"/>
  <c r="S36" i="1"/>
  <c r="Z133" i="1"/>
  <c r="W141" i="1"/>
  <c r="X141" i="1" s="1"/>
  <c r="S44" i="1"/>
  <c r="S24" i="1"/>
  <c r="S30" i="1"/>
  <c r="S37" i="1"/>
  <c r="S23" i="1"/>
  <c r="Z138" i="1"/>
  <c r="S21" i="1"/>
  <c r="S38" i="1"/>
  <c r="S22" i="1"/>
</calcChain>
</file>

<file path=xl/sharedStrings.xml><?xml version="1.0" encoding="utf-8"?>
<sst xmlns="http://schemas.openxmlformats.org/spreadsheetml/2006/main" count="417" uniqueCount="182">
  <si>
    <t>Target</t>
  </si>
  <si>
    <t>https://www.youtube.com/@DividendTalks/videos</t>
  </si>
  <si>
    <t>https://www.youtube.com/@TopLevelInvestment/videos</t>
  </si>
  <si>
    <t>https://www.youtube.com/@Click-Capital/videos</t>
  </si>
  <si>
    <t>https://marketchameleon.com/</t>
  </si>
  <si>
    <t>https://www.marketinout.com/stock-screener/industry.php?picker=fibonacci</t>
  </si>
  <si>
    <t>Stop Loss</t>
  </si>
  <si>
    <t>https://www.youtube.com/@DividendGrowthHunter/videos</t>
  </si>
  <si>
    <t>https://www.youtube.com/@neurotrader888</t>
  </si>
  <si>
    <t>Change mth 
here. Fill down</t>
  </si>
  <si>
    <t>https://ufinz.com/position-size-calculator.php</t>
  </si>
  <si>
    <t xml:space="preserve">Date </t>
  </si>
  <si>
    <t>Stock</t>
  </si>
  <si>
    <t>Shares</t>
  </si>
  <si>
    <t>Open</t>
  </si>
  <si>
    <t>Buy Price</t>
  </si>
  <si>
    <t>SL</t>
  </si>
  <si>
    <t>Sold Price</t>
  </si>
  <si>
    <t>Total Cost</t>
  </si>
  <si>
    <t>Profit</t>
  </si>
  <si>
    <t>Profit %</t>
  </si>
  <si>
    <t>Ind</t>
  </si>
  <si>
    <t>Sold Date</t>
  </si>
  <si>
    <t>%</t>
  </si>
  <si>
    <t>Remarks</t>
  </si>
  <si>
    <t>Capital</t>
  </si>
  <si>
    <t>Risk (%)</t>
  </si>
  <si>
    <t>TP</t>
  </si>
  <si>
    <t>Risk($)</t>
  </si>
  <si>
    <t>Shares 
to buy</t>
  </si>
  <si>
    <t>Cap ($)</t>
  </si>
  <si>
    <t>Cap (%)</t>
  </si>
  <si>
    <t>Entry Price</t>
  </si>
  <si>
    <t>SPY</t>
  </si>
  <si>
    <t>Test until May 2023</t>
  </si>
  <si>
    <t>ISRG</t>
  </si>
  <si>
    <t>HON</t>
  </si>
  <si>
    <t>COST</t>
  </si>
  <si>
    <t>Test until Oct 2023</t>
  </si>
  <si>
    <t>WMT</t>
  </si>
  <si>
    <t>1A</t>
  </si>
  <si>
    <t>AMZN</t>
  </si>
  <si>
    <t>1B</t>
  </si>
  <si>
    <t>GOOG</t>
  </si>
  <si>
    <t>VISA</t>
  </si>
  <si>
    <t>AAPL</t>
  </si>
  <si>
    <t>3A</t>
  </si>
  <si>
    <t>NET</t>
  </si>
  <si>
    <t>L</t>
  </si>
  <si>
    <t>ANET</t>
  </si>
  <si>
    <t>25/11/6/2024</t>
  </si>
  <si>
    <t>NVDIA</t>
  </si>
  <si>
    <t>CRM</t>
  </si>
  <si>
    <t>26/24/6/2024</t>
  </si>
  <si>
    <t>DELL</t>
  </si>
  <si>
    <t>FITB</t>
  </si>
  <si>
    <t>MU</t>
  </si>
  <si>
    <t>24/7/2024-10/8/2024</t>
  </si>
  <si>
    <t>FHN</t>
  </si>
  <si>
    <t>TSM</t>
  </si>
  <si>
    <t>NVDA</t>
  </si>
  <si>
    <t>29/7/2024-13/8/2024</t>
  </si>
  <si>
    <t>SCHW</t>
  </si>
  <si>
    <t>IBM</t>
  </si>
  <si>
    <t>15-17/8/2024-7/9/2024</t>
  </si>
  <si>
    <t>DIS</t>
  </si>
  <si>
    <t>MRVL</t>
  </si>
  <si>
    <t>CSX</t>
  </si>
  <si>
    <t>AI</t>
  </si>
  <si>
    <t>24-26/8/2024</t>
  </si>
  <si>
    <t>ORCL</t>
  </si>
  <si>
    <t>UPS</t>
  </si>
  <si>
    <t>6-7/9/2024</t>
  </si>
  <si>
    <t>QCOM</t>
  </si>
  <si>
    <t>BAC</t>
  </si>
  <si>
    <t>13/9/202</t>
  </si>
  <si>
    <t>KEY</t>
  </si>
  <si>
    <t>BMY</t>
  </si>
  <si>
    <t>30-27/9/2024</t>
  </si>
  <si>
    <t>PLTR</t>
  </si>
  <si>
    <t>S</t>
  </si>
  <si>
    <t>ENPH</t>
  </si>
  <si>
    <t>SNOW</t>
  </si>
  <si>
    <t>PYPL</t>
  </si>
  <si>
    <t>21-17-16/10/2024</t>
  </si>
  <si>
    <t>TFC</t>
  </si>
  <si>
    <t>1-31-23/10/2024</t>
  </si>
  <si>
    <t>4/11/2024</t>
  </si>
  <si>
    <t>JPM</t>
  </si>
  <si>
    <t>VZ</t>
  </si>
  <si>
    <t>BIDU</t>
  </si>
  <si>
    <t>l</t>
  </si>
  <si>
    <t>qcom</t>
  </si>
  <si>
    <t>ai</t>
  </si>
  <si>
    <t>22-15/11/2024</t>
  </si>
  <si>
    <t>amzn</t>
  </si>
  <si>
    <t>bmy</t>
  </si>
  <si>
    <t>ibm</t>
  </si>
  <si>
    <t>orcl</t>
  </si>
  <si>
    <t>nvda</t>
  </si>
  <si>
    <t>amat</t>
  </si>
  <si>
    <t>30-27-10/12/2024</t>
  </si>
  <si>
    <t>dell</t>
  </si>
  <si>
    <t>30-27/12/2024</t>
  </si>
  <si>
    <t>avgo</t>
  </si>
  <si>
    <t>jpm</t>
  </si>
  <si>
    <t>shop</t>
  </si>
  <si>
    <t>/6000</t>
  </si>
  <si>
    <t>cmg</t>
  </si>
  <si>
    <t>amd</t>
  </si>
  <si>
    <t>tsm</t>
  </si>
  <si>
    <t>ibit</t>
  </si>
  <si>
    <t>vz</t>
  </si>
  <si>
    <t>7/04/25 7-5/2/2025</t>
  </si>
  <si>
    <t>goog</t>
  </si>
  <si>
    <t>9/4/25 12-7/2/2025</t>
  </si>
  <si>
    <t>21-12/2/2025</t>
  </si>
  <si>
    <t>okta</t>
  </si>
  <si>
    <t>anet</t>
  </si>
  <si>
    <t>9,1/7/2025</t>
  </si>
  <si>
    <t>cpng</t>
  </si>
  <si>
    <t>bac</t>
  </si>
  <si>
    <t>snow</t>
  </si>
  <si>
    <t>panw</t>
  </si>
  <si>
    <t>should hold longer</t>
  </si>
  <si>
    <t>crm</t>
  </si>
  <si>
    <t>11,8/8-1,30/7/2025</t>
  </si>
  <si>
    <t>6/9-30,19,6/8/2025</t>
  </si>
  <si>
    <t>-5@154</t>
  </si>
  <si>
    <t>6/9-30,19,6/8/2026</t>
  </si>
  <si>
    <t>30,14,7/8/2025</t>
  </si>
  <si>
    <t>smci</t>
  </si>
  <si>
    <t>-10@46.15</t>
  </si>
  <si>
    <t>20,15,13/8/2025</t>
  </si>
  <si>
    <t>mu</t>
  </si>
  <si>
    <t>should wait until touch fibo</t>
  </si>
  <si>
    <t>10/10,15/8/2025</t>
  </si>
  <si>
    <t>tsmc</t>
  </si>
  <si>
    <t>-1@267.5</t>
  </si>
  <si>
    <t>6/9-30,21/8/2025</t>
  </si>
  <si>
    <t>-2@188</t>
  </si>
  <si>
    <t>30,19/8/2025</t>
  </si>
  <si>
    <t>stne</t>
  </si>
  <si>
    <t>-20@17.6</t>
  </si>
  <si>
    <t>ftnt</t>
  </si>
  <si>
    <t>btd-tariff</t>
  </si>
  <si>
    <t>17/12;8/11,10/10/2025</t>
  </si>
  <si>
    <t>-2@203,208</t>
  </si>
  <si>
    <t>-2@209.66</t>
  </si>
  <si>
    <t>20,8/11,15/10/2025</t>
  </si>
  <si>
    <t>btd-finance</t>
  </si>
  <si>
    <t>17,12/12;5/11/2025</t>
  </si>
  <si>
    <t>btd</t>
  </si>
  <si>
    <t>-10@30.5</t>
  </si>
  <si>
    <t>21,9,8,5/11/2025</t>
  </si>
  <si>
    <t>21,8/11/2025</t>
  </si>
  <si>
    <t>-2 @298.85</t>
  </si>
  <si>
    <t>21,13/11/2025</t>
  </si>
  <si>
    <t>-2-206.95</t>
  </si>
  <si>
    <t>lrcx</t>
  </si>
  <si>
    <t>Nov &amp; Dec 2025 =1.5%</t>
  </si>
  <si>
    <t>21,15/1/2026</t>
  </si>
  <si>
    <t>zeta</t>
  </si>
  <si>
    <t>ZETA</t>
  </si>
  <si>
    <t>rklb</t>
  </si>
  <si>
    <t>RKLB</t>
  </si>
  <si>
    <t>nbis</t>
  </si>
  <si>
    <t>Jan2026 = -1.28</t>
  </si>
  <si>
    <t>NBIS</t>
  </si>
  <si>
    <t>oklo</t>
  </si>
  <si>
    <t>-2@219.5</t>
  </si>
  <si>
    <t>-2@219.95</t>
  </si>
  <si>
    <t>Feb2026=1.08%</t>
  </si>
  <si>
    <t>baba</t>
  </si>
  <si>
    <t>27,25,20/3/2026</t>
  </si>
  <si>
    <t>27,24/3/2026</t>
  </si>
  <si>
    <t>-2@218.5</t>
  </si>
  <si>
    <t>lrccx</t>
  </si>
  <si>
    <t>mrvl</t>
  </si>
  <si>
    <t>Mar2026=1.1%</t>
  </si>
  <si>
    <t>syf</t>
  </si>
  <si>
    <t>wmt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</si>
</sst>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409]dd/mm/yyyy;@"/>
    <numFmt numFmtId="165" formatCode="0.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9"/>
      <color rgb="FF00B05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0"/>
      <color rgb="FF020202"/>
      <name val="Inherit"/>
    </font>
    <font>
      <sz val="10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EC6C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D0D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Dashed">
        <color rgb="FFEBEBEB"/>
      </left>
      <right style="mediumDashed">
        <color rgb="FFEBEBEB"/>
      </right>
      <top style="mediumDashed">
        <color rgb="FFEBEBEB"/>
      </top>
      <bottom style="mediumDashed">
        <color rgb="FFEBEBEB"/>
      </bottom>
      <diagonal/>
    </border>
    <border>
      <left style="mediumDashed">
        <color rgb="FFEBEBEB"/>
      </left>
      <right style="mediumDashed">
        <color rgb="FFEBEBEB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5" fillId="0" borderId="0" xfId="2" applyAlignment="1">
      <alignment horizontal="center"/>
    </xf>
    <xf numFmtId="0" fontId="6" fillId="0" borderId="0" xfId="0" applyFont="1" applyAlignment="1">
      <alignment horizontal="center"/>
    </xf>
    <xf numFmtId="2" fontId="5" fillId="0" borderId="0" xfId="2" applyNumberFormat="1"/>
    <xf numFmtId="164" fontId="0" fillId="0" borderId="0" xfId="1" applyNumberFormat="1" applyFont="1"/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2" fontId="0" fillId="0" borderId="0" xfId="1" applyNumberFormat="1" applyFont="1"/>
    <xf numFmtId="0" fontId="7" fillId="2" borderId="0" xfId="0" applyFont="1" applyFill="1" applyAlignment="1">
      <alignment vertical="center" wrapText="1"/>
    </xf>
    <xf numFmtId="0" fontId="0" fillId="3" borderId="1" xfId="0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164" fontId="0" fillId="3" borderId="2" xfId="1" applyNumberFormat="1" applyFont="1" applyFill="1" applyBorder="1" applyAlignment="1">
      <alignment horizontal="center"/>
    </xf>
    <xf numFmtId="10" fontId="0" fillId="3" borderId="2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5" fontId="0" fillId="3" borderId="0" xfId="0" applyNumberFormat="1" applyFill="1"/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0" fillId="3" borderId="0" xfId="0" applyFill="1"/>
    <xf numFmtId="14" fontId="0" fillId="5" borderId="0" xfId="0" applyNumberFormat="1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2" fontId="0" fillId="0" borderId="0" xfId="1" applyNumberFormat="1" applyFont="1" applyFill="1"/>
    <xf numFmtId="164" fontId="0" fillId="0" borderId="0" xfId="1" applyNumberFormat="1" applyFont="1" applyFill="1"/>
    <xf numFmtId="10" fontId="0" fillId="6" borderId="0" xfId="1" applyNumberFormat="1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6" fillId="3" borderId="0" xfId="0" applyFon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2" fontId="0" fillId="3" borderId="0" xfId="1" applyNumberFormat="1" applyFont="1" applyFill="1"/>
    <xf numFmtId="164" fontId="0" fillId="3" borderId="0" xfId="1" applyNumberFormat="1" applyFont="1" applyFill="1"/>
    <xf numFmtId="14" fontId="0" fillId="0" borderId="0" xfId="0" applyNumberFormat="1" applyAlignment="1">
      <alignment horizontal="center"/>
    </xf>
    <xf numFmtId="2" fontId="0" fillId="0" borderId="0" xfId="0" applyNumberFormat="1"/>
    <xf numFmtId="14" fontId="8" fillId="6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10" fontId="8" fillId="6" borderId="0" xfId="1" applyNumberFormat="1" applyFont="1" applyFill="1" applyAlignment="1">
      <alignment horizontal="center"/>
    </xf>
    <xf numFmtId="2" fontId="8" fillId="6" borderId="0" xfId="1" applyNumberFormat="1" applyFont="1" applyFill="1"/>
    <xf numFmtId="164" fontId="8" fillId="6" borderId="0" xfId="1" applyNumberFormat="1" applyFont="1" applyFill="1"/>
    <xf numFmtId="10" fontId="8" fillId="6" borderId="0" xfId="1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/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0" fontId="0" fillId="0" borderId="0" xfId="1" quotePrefix="1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1" fillId="0" borderId="3" xfId="0" applyFont="1" applyBorder="1" applyAlignment="1">
      <alignment vertical="center"/>
    </xf>
    <xf numFmtId="14" fontId="6" fillId="0" borderId="0" xfId="0" applyNumberFormat="1" applyFont="1" applyAlignment="1">
      <alignment horizontal="center"/>
    </xf>
    <xf numFmtId="10" fontId="3" fillId="0" borderId="0" xfId="1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2" fontId="0" fillId="2" borderId="0" xfId="1" applyNumberFormat="1" applyFont="1" applyFill="1"/>
    <xf numFmtId="164" fontId="0" fillId="2" borderId="0" xfId="1" applyNumberFormat="1" applyFont="1" applyFill="1"/>
    <xf numFmtId="0" fontId="0" fillId="0" borderId="0" xfId="0" quotePrefix="1" applyAlignment="1">
      <alignment horizontal="center"/>
    </xf>
    <xf numFmtId="0" fontId="6" fillId="2" borderId="0" xfId="0" applyFont="1" applyFill="1" applyAlignment="1">
      <alignment horizontal="center"/>
    </xf>
    <xf numFmtId="10" fontId="0" fillId="2" borderId="0" xfId="1" applyNumberFormat="1" applyFont="1" applyFill="1" applyAlignment="1">
      <alignment horizontal="center"/>
    </xf>
    <xf numFmtId="0" fontId="4" fillId="0" borderId="0" xfId="0" applyFont="1"/>
    <xf numFmtId="0" fontId="0" fillId="0" borderId="0" xfId="0" quotePrefix="1"/>
    <xf numFmtId="1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0" fontId="0" fillId="10" borderId="0" xfId="1" applyNumberFormat="1" applyFont="1" applyFill="1" applyAlignment="1">
      <alignment horizontal="center"/>
    </xf>
    <xf numFmtId="165" fontId="4" fillId="0" borderId="0" xfId="0" applyNumberFormat="1" applyFont="1"/>
    <xf numFmtId="0" fontId="11" fillId="0" borderId="4" xfId="0" applyFont="1" applyBorder="1" applyAlignment="1">
      <alignment vertical="center"/>
    </xf>
    <xf numFmtId="0" fontId="0" fillId="11" borderId="0" xfId="0" applyFill="1" applyAlignment="1">
      <alignment horizontal="center"/>
    </xf>
    <xf numFmtId="0" fontId="6" fillId="11" borderId="0" xfId="0" applyFont="1" applyFill="1" applyAlignment="1">
      <alignment horizontal="center"/>
    </xf>
    <xf numFmtId="10" fontId="0" fillId="11" borderId="0" xfId="1" applyNumberFormat="1" applyFont="1" applyFill="1" applyAlignment="1">
      <alignment horizontal="center"/>
    </xf>
    <xf numFmtId="1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6" fillId="12" borderId="0" xfId="0" applyFont="1" applyFill="1" applyAlignment="1">
      <alignment horizontal="center"/>
    </xf>
    <xf numFmtId="10" fontId="0" fillId="12" borderId="0" xfId="1" applyNumberFormat="1" applyFont="1" applyFill="1" applyAlignment="1">
      <alignment horizontal="center"/>
    </xf>
    <xf numFmtId="164" fontId="0" fillId="0" borderId="0" xfId="1" quotePrefix="1" applyNumberFormat="1" applyFont="1"/>
    <xf numFmtId="0" fontId="0" fillId="13" borderId="0" xfId="0" applyFill="1" applyAlignment="1">
      <alignment horizontal="center"/>
    </xf>
    <xf numFmtId="0" fontId="6" fillId="13" borderId="0" xfId="0" applyFont="1" applyFill="1" applyAlignment="1">
      <alignment horizontal="center"/>
    </xf>
    <xf numFmtId="10" fontId="0" fillId="13" borderId="0" xfId="1" applyNumberFormat="1" applyFont="1" applyFill="1" applyAlignment="1">
      <alignment horizontal="center"/>
    </xf>
    <xf numFmtId="10" fontId="0" fillId="2" borderId="0" xfId="1" applyNumberFormat="1" applyFont="1" applyFill="1" applyAlignment="1">
      <alignment horizontal="center" vertical="center"/>
    </xf>
    <xf numFmtId="2" fontId="0" fillId="14" borderId="0" xfId="1" applyNumberFormat="1" applyFont="1" applyFill="1"/>
    <xf numFmtId="0" fontId="0" fillId="15" borderId="0" xfId="0" applyFill="1" applyAlignment="1">
      <alignment horizontal="center"/>
    </xf>
    <xf numFmtId="0" fontId="6" fillId="15" borderId="0" xfId="0" applyFont="1" applyFill="1" applyAlignment="1">
      <alignment horizontal="center"/>
    </xf>
    <xf numFmtId="10" fontId="0" fillId="15" borderId="0" xfId="1" applyNumberFormat="1" applyFont="1" applyFill="1" applyAlignment="1">
      <alignment horizontal="center"/>
    </xf>
    <xf numFmtId="0" fontId="12" fillId="10" borderId="0" xfId="0" quotePrefix="1" applyFont="1" applyFill="1"/>
    <xf numFmtId="165" fontId="2" fillId="16" borderId="0" xfId="0" applyNumberFormat="1" applyFont="1" applyFill="1"/>
    <xf numFmtId="165" fontId="0" fillId="17" borderId="0" xfId="0" applyNumberFormat="1" applyFill="1"/>
    <xf numFmtId="0" fontId="0" fillId="13" borderId="0" xfId="0" applyFill="1"/>
    <xf numFmtId="0" fontId="0" fillId="11" borderId="0" xfId="0" applyFill="1"/>
    <xf numFmtId="14" fontId="0" fillId="11" borderId="0" xfId="0" applyNumberFormat="1" applyFill="1" applyAlignment="1">
      <alignment horizontal="center"/>
    </xf>
    <xf numFmtId="2" fontId="0" fillId="11" borderId="0" xfId="1" applyNumberFormat="1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1184945</xdr:colOff>
      <xdr:row>112</xdr:row>
      <xdr:rowOff>144781</xdr:rowOff>
    </xdr:from>
    <xdr:to>
      <xdr:col>26</xdr:col>
      <xdr:colOff>475330</xdr:colOff>
      <xdr:row>129</xdr:row>
      <xdr:rowOff>87055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406277-2DD0-40E0-A707-D2F5153B4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85" y="19560541"/>
          <a:ext cx="5828345" cy="30512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DividendGrowthHunter/videos" TargetMode="External"/><Relationship Id="rId2" Type="http://schemas.openxmlformats.org/officeDocument/2006/relationships/hyperlink" Target="https://www.youtube.com/@TopLevelInvestment/videos" TargetMode="External"/><Relationship Id="rId1" Type="http://schemas.openxmlformats.org/officeDocument/2006/relationships/hyperlink" Target="https://www.youtube.com/@DividendTalks/videos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marketinout.com/stock-screener/industry.php?picker=fibonacci" TargetMode="External"/><Relationship Id="rId4" Type="http://schemas.openxmlformats.org/officeDocument/2006/relationships/hyperlink" Target="https://www.youtube.com/@Click-Capital/vide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64CF-EC61-4208-84D5-F50C46BD58A9}">
  <dimension ref="A1:AA157"/>
  <sheetViews>
    <sheetView tabSelected="1" workbookViewId="0">
      <selection sqref="A1:XFD1048576"/>
    </sheetView>
  </sheetViews>
  <sheetFormatPr defaultRowHeight="14.4"/>
  <cols>
    <col min="1" max="1" width="16.44140625" style="1" customWidth="1"/>
    <col min="2" max="2" width="8.5546875" style="1" customWidth="1"/>
    <col min="3" max="3" width="7.109375" style="1" customWidth="1"/>
    <col min="4" max="4" width="6.33203125" style="1" customWidth="1"/>
    <col min="5" max="5" width="9" style="1" customWidth="1"/>
    <col min="6" max="6" width="8" style="4" customWidth="1"/>
    <col min="7" max="7" width="6.33203125" style="4" customWidth="1"/>
    <col min="8" max="8" width="10.6640625" style="1" customWidth="1"/>
    <col min="9" max="9" width="11" style="1" customWidth="1"/>
    <col min="10" max="10" width="9.6640625" style="1" customWidth="1"/>
    <col min="11" max="11" width="9.6640625" style="2" customWidth="1"/>
    <col min="12" max="12" width="5.109375" style="10" customWidth="1"/>
    <col min="13" max="13" width="10.5546875" style="6" bestFit="1" customWidth="1"/>
    <col min="14" max="14" width="4.77734375" style="7" customWidth="1"/>
    <col min="15" max="15" width="5.88671875" style="8" customWidth="1"/>
    <col min="16" max="16" width="14" customWidth="1"/>
    <col min="17" max="18" width="6.6640625" customWidth="1"/>
    <col min="19" max="19" width="7.5546875" style="9" bestFit="1" customWidth="1"/>
    <col min="20" max="20" width="7.88671875" style="9" customWidth="1"/>
    <col min="21" max="21" width="7.33203125" customWidth="1"/>
    <col min="22" max="22" width="8.109375" customWidth="1"/>
    <col min="24" max="24" width="7.33203125" customWidth="1"/>
    <col min="25" max="25" width="9.88671875" customWidth="1"/>
    <col min="26" max="26" width="7.6640625" customWidth="1"/>
  </cols>
  <sheetData>
    <row r="1" spans="1:26" ht="19.2" customHeight="1">
      <c r="A1" s="1">
        <v>7100</v>
      </c>
      <c r="B1" s="1" t="s">
        <v>0</v>
      </c>
      <c r="C1" s="2">
        <v>0.05</v>
      </c>
      <c r="D1" s="3" t="s">
        <v>1</v>
      </c>
      <c r="I1" s="3" t="s">
        <v>2</v>
      </c>
      <c r="L1" s="5" t="s">
        <v>3</v>
      </c>
      <c r="Q1" t="s">
        <v>4</v>
      </c>
    </row>
    <row r="2" spans="1:26" ht="34.200000000000003" customHeight="1">
      <c r="A2" s="3" t="s">
        <v>5</v>
      </c>
      <c r="B2" s="1" t="s">
        <v>6</v>
      </c>
      <c r="C2" s="2">
        <v>0.05</v>
      </c>
      <c r="D2" s="3" t="s">
        <v>7</v>
      </c>
      <c r="J2" s="1" t="s">
        <v>8</v>
      </c>
      <c r="P2" s="11" t="s">
        <v>9</v>
      </c>
      <c r="Q2" t="s">
        <v>10</v>
      </c>
    </row>
    <row r="3" spans="1:26" ht="28.8">
      <c r="A3" s="12" t="s">
        <v>11</v>
      </c>
      <c r="B3" s="12" t="s">
        <v>12</v>
      </c>
      <c r="C3" s="12" t="s">
        <v>13</v>
      </c>
      <c r="D3" s="12" t="s">
        <v>14</v>
      </c>
      <c r="E3" s="12" t="s">
        <v>15</v>
      </c>
      <c r="F3" s="12" t="s">
        <v>0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4" t="s">
        <v>21</v>
      </c>
      <c r="M3" s="15" t="s">
        <v>22</v>
      </c>
      <c r="N3" s="16" t="s">
        <v>23</v>
      </c>
      <c r="O3" s="17" t="s">
        <v>24</v>
      </c>
      <c r="P3" s="18" t="s">
        <v>19</v>
      </c>
      <c r="Q3" s="19" t="s">
        <v>25</v>
      </c>
      <c r="R3" s="20" t="s">
        <v>26</v>
      </c>
      <c r="S3" s="21" t="s">
        <v>27</v>
      </c>
      <c r="T3" s="22" t="s">
        <v>16</v>
      </c>
      <c r="U3" s="23" t="s">
        <v>28</v>
      </c>
      <c r="V3" s="24" t="s">
        <v>29</v>
      </c>
      <c r="W3" s="25" t="s">
        <v>30</v>
      </c>
      <c r="X3" s="25" t="s">
        <v>31</v>
      </c>
      <c r="Y3" s="25" t="s">
        <v>32</v>
      </c>
      <c r="Z3" s="25" t="s">
        <v>19</v>
      </c>
    </row>
    <row r="4" spans="1:26" hidden="1">
      <c r="A4" s="26">
        <v>45072</v>
      </c>
      <c r="B4" s="1" t="s">
        <v>33</v>
      </c>
      <c r="C4" s="1">
        <v>1</v>
      </c>
      <c r="D4" s="1">
        <v>415.33</v>
      </c>
      <c r="E4" s="1">
        <v>417</v>
      </c>
      <c r="F4" s="4">
        <f>D4+(D4*$C$1)</f>
        <v>436.09649999999999</v>
      </c>
      <c r="G4" s="4">
        <f>D4-(D4*$C$2)</f>
        <v>394.56349999999998</v>
      </c>
      <c r="H4" s="1">
        <v>431.5</v>
      </c>
      <c r="J4" s="1">
        <f t="shared" ref="J4:J9" si="0">H4-E4</f>
        <v>14.5</v>
      </c>
      <c r="K4" s="27">
        <f>J4/E4</f>
        <v>3.4772182254196642E-2</v>
      </c>
      <c r="L4" s="28">
        <f>C4*J4</f>
        <v>14.5</v>
      </c>
      <c r="M4" s="29"/>
      <c r="N4" s="7" t="s">
        <v>34</v>
      </c>
    </row>
    <row r="5" spans="1:26" hidden="1">
      <c r="A5" s="26">
        <v>45086</v>
      </c>
      <c r="B5" s="1" t="s">
        <v>35</v>
      </c>
      <c r="C5" s="1">
        <v>1</v>
      </c>
      <c r="D5" s="1">
        <v>310.82</v>
      </c>
      <c r="E5" s="1">
        <v>311.10000000000002</v>
      </c>
      <c r="F5" s="4">
        <f>D5+(D5*$C$1)</f>
        <v>326.36099999999999</v>
      </c>
      <c r="G5" s="4">
        <f>D5-(D5*$C$2)</f>
        <v>295.279</v>
      </c>
      <c r="H5" s="1">
        <v>329.56</v>
      </c>
      <c r="J5" s="1">
        <f t="shared" si="0"/>
        <v>18.45999999999998</v>
      </c>
      <c r="K5" s="27">
        <f t="shared" ref="K5:K9" si="1">J5/E5</f>
        <v>5.9337833494053291E-2</v>
      </c>
      <c r="L5" s="28">
        <f t="shared" ref="L5:L10" si="2">C5*J5</f>
        <v>18.45999999999998</v>
      </c>
      <c r="M5" s="29"/>
    </row>
    <row r="6" spans="1:26" hidden="1">
      <c r="A6" s="26">
        <v>45098</v>
      </c>
      <c r="B6" s="1" t="s">
        <v>36</v>
      </c>
      <c r="C6" s="1">
        <v>1</v>
      </c>
      <c r="D6" s="1">
        <v>199.29</v>
      </c>
      <c r="E6" s="1">
        <v>199.05</v>
      </c>
      <c r="F6" s="4">
        <f>D6+(D6*$C$1)</f>
        <v>209.25450000000001</v>
      </c>
      <c r="G6" s="4">
        <f>D6-(D6*$C$2)</f>
        <v>189.32549999999998</v>
      </c>
      <c r="H6" s="1">
        <v>204</v>
      </c>
      <c r="J6" s="1">
        <f t="shared" si="0"/>
        <v>4.9499999999999886</v>
      </c>
      <c r="K6" s="27">
        <f t="shared" si="1"/>
        <v>2.4868123587038375E-2</v>
      </c>
      <c r="L6" s="28">
        <f t="shared" si="2"/>
        <v>4.9499999999999886</v>
      </c>
      <c r="M6" s="29"/>
    </row>
    <row r="7" spans="1:26" hidden="1">
      <c r="A7" s="26">
        <v>45113</v>
      </c>
      <c r="B7" s="1" t="s">
        <v>35</v>
      </c>
      <c r="C7" s="1">
        <v>1</v>
      </c>
      <c r="D7" s="1">
        <v>328.78</v>
      </c>
      <c r="E7" s="1">
        <v>329.85</v>
      </c>
      <c r="F7" s="4">
        <f>D7+(D7*$C$1)</f>
        <v>345.21899999999999</v>
      </c>
      <c r="G7" s="4">
        <f>D7-(D7*$C$2)</f>
        <v>312.34099999999995</v>
      </c>
      <c r="H7" s="1">
        <v>342.9</v>
      </c>
      <c r="J7" s="1">
        <f t="shared" si="0"/>
        <v>13.049999999999955</v>
      </c>
      <c r="K7" s="30">
        <f t="shared" si="1"/>
        <v>3.9563437926330013E-2</v>
      </c>
      <c r="L7" s="28">
        <f t="shared" si="2"/>
        <v>13.049999999999955</v>
      </c>
      <c r="M7" s="29"/>
    </row>
    <row r="8" spans="1:26" hidden="1">
      <c r="A8" s="31">
        <v>45114</v>
      </c>
      <c r="B8" s="1" t="s">
        <v>33</v>
      </c>
      <c r="C8" s="1">
        <v>0</v>
      </c>
      <c r="D8" s="1">
        <v>438.63</v>
      </c>
      <c r="E8" s="1">
        <v>438.63</v>
      </c>
      <c r="H8" s="1">
        <v>449.28</v>
      </c>
      <c r="J8" s="1">
        <f t="shared" si="0"/>
        <v>10.649999999999977</v>
      </c>
      <c r="K8" s="27">
        <f t="shared" si="1"/>
        <v>2.4280144996922184E-2</v>
      </c>
      <c r="L8" s="28">
        <f t="shared" si="2"/>
        <v>0</v>
      </c>
      <c r="M8" s="29"/>
    </row>
    <row r="9" spans="1:26" hidden="1">
      <c r="A9" s="32">
        <v>45178</v>
      </c>
      <c r="B9" s="23" t="s">
        <v>36</v>
      </c>
      <c r="C9" s="23">
        <v>0</v>
      </c>
      <c r="D9" s="23">
        <v>189.02</v>
      </c>
      <c r="E9" s="23">
        <v>189.02</v>
      </c>
      <c r="F9" s="33"/>
      <c r="G9" s="33"/>
      <c r="H9" s="23">
        <v>193.03</v>
      </c>
      <c r="I9" s="23"/>
      <c r="J9" s="23">
        <f t="shared" si="0"/>
        <v>4.0099999999999909</v>
      </c>
      <c r="K9" s="34">
        <f t="shared" si="1"/>
        <v>2.1214686276584439E-2</v>
      </c>
      <c r="L9" s="35">
        <f t="shared" si="2"/>
        <v>0</v>
      </c>
      <c r="M9" s="36"/>
    </row>
    <row r="10" spans="1:26" hidden="1">
      <c r="A10" s="26">
        <v>45233</v>
      </c>
      <c r="B10" s="1" t="s">
        <v>37</v>
      </c>
      <c r="C10" s="1">
        <v>1</v>
      </c>
      <c r="E10" s="1">
        <v>559.51</v>
      </c>
      <c r="H10" s="1">
        <v>578.58000000000004</v>
      </c>
      <c r="J10" s="1">
        <f>(H10-E10)*C10</f>
        <v>19.07000000000005</v>
      </c>
      <c r="K10" s="2">
        <f>(H10-E10)/E10</f>
        <v>3.4083394398670357E-2</v>
      </c>
      <c r="L10" s="10">
        <f t="shared" si="2"/>
        <v>19.07000000000005</v>
      </c>
      <c r="N10" s="7" t="s">
        <v>38</v>
      </c>
    </row>
    <row r="11" spans="1:26" hidden="1">
      <c r="A11" s="26">
        <v>45239</v>
      </c>
      <c r="B11" s="1" t="s">
        <v>39</v>
      </c>
      <c r="C11" s="1">
        <v>2</v>
      </c>
      <c r="E11" s="1">
        <v>163.80000000000001</v>
      </c>
      <c r="H11" s="1">
        <v>167.6</v>
      </c>
      <c r="J11" s="1">
        <f>(H11-E11)*C11</f>
        <v>7.5999999999999659</v>
      </c>
      <c r="K11" s="2">
        <f>(H11-E11)/E11</f>
        <v>2.3199023199023092E-2</v>
      </c>
      <c r="N11" s="7" t="s">
        <v>40</v>
      </c>
    </row>
    <row r="12" spans="1:26" hidden="1">
      <c r="A12" s="26">
        <v>45246</v>
      </c>
      <c r="B12" s="1" t="s">
        <v>41</v>
      </c>
      <c r="C12" s="1">
        <v>4</v>
      </c>
      <c r="E12" s="1">
        <v>144.44999999999999</v>
      </c>
      <c r="H12" s="1">
        <v>147.5</v>
      </c>
      <c r="J12" s="1">
        <f>(H12-E12)*C12</f>
        <v>12.200000000000045</v>
      </c>
      <c r="K12" s="2">
        <f>(H12-E12)/E12</f>
        <v>2.1114572516441756E-2</v>
      </c>
      <c r="N12" s="7" t="s">
        <v>42</v>
      </c>
    </row>
    <row r="13" spans="1:26" hidden="1">
      <c r="A13" s="26">
        <v>45258</v>
      </c>
      <c r="B13" s="1" t="s">
        <v>43</v>
      </c>
      <c r="C13" s="1">
        <v>5</v>
      </c>
      <c r="E13" s="1">
        <v>134.38999999999999</v>
      </c>
      <c r="H13" s="1">
        <v>132.30000000000001</v>
      </c>
      <c r="J13" s="1">
        <f>(H13-E13)*C13</f>
        <v>-10.449999999999875</v>
      </c>
      <c r="K13" s="2">
        <f>(H13-E13)/E13</f>
        <v>-1.5551752362526788E-2</v>
      </c>
      <c r="N13" s="7" t="s">
        <v>40</v>
      </c>
      <c r="P13">
        <f>(E13*0.032)+E13</f>
        <v>138.69047999999998</v>
      </c>
      <c r="R13" t="s">
        <v>44</v>
      </c>
    </row>
    <row r="14" spans="1:26" hidden="1">
      <c r="A14" s="37">
        <v>45261</v>
      </c>
      <c r="B14" s="1" t="s">
        <v>41</v>
      </c>
      <c r="C14" s="1">
        <v>2</v>
      </c>
      <c r="E14" s="1">
        <v>146.19999999999999</v>
      </c>
      <c r="H14" s="1">
        <v>146.25</v>
      </c>
      <c r="J14" s="1">
        <f>(H14-E14)*C14</f>
        <v>0.10000000000002274</v>
      </c>
      <c r="K14" s="2">
        <f>(H14-E14)/E14</f>
        <v>3.4199726402196561E-4</v>
      </c>
      <c r="N14" s="7" t="s">
        <v>42</v>
      </c>
      <c r="R14" s="38">
        <v>2</v>
      </c>
      <c r="S14" s="9">
        <v>135.65</v>
      </c>
      <c r="T14" s="9">
        <f>R14*S14</f>
        <v>271.3</v>
      </c>
    </row>
    <row r="15" spans="1:26" hidden="1">
      <c r="A15" s="37">
        <v>45282</v>
      </c>
      <c r="B15" s="1" t="s">
        <v>45</v>
      </c>
      <c r="C15" s="1">
        <v>2</v>
      </c>
      <c r="E15" s="1">
        <v>194.9</v>
      </c>
      <c r="H15" s="1">
        <v>185.64</v>
      </c>
      <c r="J15" s="1">
        <f t="shared" ref="J15:J78" si="3">(H15-E15)*C15</f>
        <v>-18.520000000000039</v>
      </c>
      <c r="K15" s="2">
        <f t="shared" ref="K15:K78" si="4">(H15-E15)/E15</f>
        <v>-4.7511544381734321E-2</v>
      </c>
      <c r="R15" s="38">
        <v>1</v>
      </c>
      <c r="S15" s="9">
        <v>137.80000000000001</v>
      </c>
      <c r="T15" s="9">
        <f>R15*S15</f>
        <v>137.80000000000001</v>
      </c>
    </row>
    <row r="16" spans="1:26" ht="15" thickBot="1">
      <c r="A16" s="39">
        <v>45293</v>
      </c>
      <c r="B16" s="40" t="s">
        <v>41</v>
      </c>
      <c r="C16" s="40">
        <v>1</v>
      </c>
      <c r="D16" s="40"/>
      <c r="E16" s="40">
        <v>150.30000000000001</v>
      </c>
      <c r="F16" s="41"/>
      <c r="G16" s="41"/>
      <c r="H16" s="40">
        <v>149.93</v>
      </c>
      <c r="I16" s="42">
        <v>2024</v>
      </c>
      <c r="J16" s="40">
        <f t="shared" si="3"/>
        <v>-0.37000000000000455</v>
      </c>
      <c r="K16" s="43">
        <f t="shared" si="4"/>
        <v>-2.4617431803060845E-3</v>
      </c>
      <c r="L16" s="44"/>
      <c r="M16" s="45"/>
      <c r="N16" s="46" t="s">
        <v>46</v>
      </c>
      <c r="O16" s="47"/>
      <c r="P16" s="48"/>
      <c r="R16" s="38"/>
    </row>
    <row r="17" spans="1:21" ht="15" thickBot="1">
      <c r="A17" s="49">
        <v>45448</v>
      </c>
      <c r="B17" s="50" t="s">
        <v>47</v>
      </c>
      <c r="C17" s="1">
        <v>18</v>
      </c>
      <c r="D17" s="1" t="s">
        <v>48</v>
      </c>
      <c r="E17" s="1">
        <v>66.86</v>
      </c>
      <c r="G17" s="4">
        <f>E17-(E17*$C$2)</f>
        <v>63.516999999999996</v>
      </c>
      <c r="H17" s="1">
        <v>75.45</v>
      </c>
      <c r="I17" s="1">
        <f>C17*E17</f>
        <v>1203.48</v>
      </c>
      <c r="J17" s="1">
        <f t="shared" si="3"/>
        <v>154.62000000000006</v>
      </c>
      <c r="K17" s="27">
        <f t="shared" si="4"/>
        <v>0.12847741549506436</v>
      </c>
      <c r="L17" s="10">
        <f t="shared" ref="L17:L28" si="5">IF(M17&lt;&gt;"",1,0)</f>
        <v>1</v>
      </c>
      <c r="M17" s="6">
        <v>45456</v>
      </c>
      <c r="N17" s="51">
        <f t="shared" ref="N17:N18" si="6">IF(M17&lt;&gt;"",K17,0)</f>
        <v>0.12847741549506436</v>
      </c>
      <c r="O17" s="52">
        <f>L17*I17</f>
        <v>1203.48</v>
      </c>
      <c r="P17" s="53">
        <f>IF(MONTH(M17)=12, J17, 0)</f>
        <v>0</v>
      </c>
      <c r="R17" s="38"/>
    </row>
    <row r="18" spans="1:21" ht="15" thickBot="1">
      <c r="A18" s="49">
        <v>45453</v>
      </c>
      <c r="B18" s="50" t="s">
        <v>44</v>
      </c>
      <c r="C18" s="1">
        <v>4</v>
      </c>
      <c r="D18" s="1" t="s">
        <v>48</v>
      </c>
      <c r="E18" s="1">
        <v>274.27</v>
      </c>
      <c r="G18" s="4">
        <f t="shared" ref="G18:G38" si="7">E18-(E18*$C$2)</f>
        <v>260.55649999999997</v>
      </c>
      <c r="H18" s="1">
        <v>266.05</v>
      </c>
      <c r="I18" s="1">
        <f t="shared" ref="I18:I81" si="8">C18*E18</f>
        <v>1097.08</v>
      </c>
      <c r="J18" s="1">
        <f t="shared" si="3"/>
        <v>-32.879999999999882</v>
      </c>
      <c r="K18" s="27">
        <f t="shared" si="4"/>
        <v>-2.9970467058008425E-2</v>
      </c>
      <c r="L18" s="10">
        <f t="shared" si="5"/>
        <v>1</v>
      </c>
      <c r="M18" s="6">
        <v>45457</v>
      </c>
      <c r="N18" s="51">
        <f t="shared" si="6"/>
        <v>-2.9970467058008425E-2</v>
      </c>
      <c r="O18" s="52">
        <f t="shared" ref="O18:O45" si="9">L18*I18</f>
        <v>1097.08</v>
      </c>
      <c r="P18" s="53">
        <f t="shared" ref="P18:P71" si="10">IF(MONTH(M18)=12, J18, 0)</f>
        <v>0</v>
      </c>
      <c r="R18" s="38"/>
    </row>
    <row r="19" spans="1:21" ht="15" thickBot="1">
      <c r="A19" s="49">
        <v>45453</v>
      </c>
      <c r="B19" s="50" t="s">
        <v>49</v>
      </c>
      <c r="C19" s="1">
        <v>4</v>
      </c>
      <c r="D19" s="1" t="s">
        <v>48</v>
      </c>
      <c r="E19" s="1">
        <v>293.27</v>
      </c>
      <c r="G19" s="4">
        <f t="shared" si="7"/>
        <v>278.60649999999998</v>
      </c>
      <c r="H19" s="1">
        <v>329</v>
      </c>
      <c r="I19" s="1">
        <f t="shared" si="8"/>
        <v>1173.08</v>
      </c>
      <c r="J19" s="1">
        <f t="shared" si="3"/>
        <v>142.92000000000007</v>
      </c>
      <c r="K19" s="27">
        <f t="shared" si="4"/>
        <v>0.12183312306066089</v>
      </c>
      <c r="L19" s="10">
        <f t="shared" si="5"/>
        <v>1</v>
      </c>
      <c r="M19" s="6">
        <v>45091</v>
      </c>
      <c r="N19" s="51">
        <f>IF(M19&lt;&gt;"",K19,0)</f>
        <v>0.12183312306066089</v>
      </c>
      <c r="O19" s="52">
        <f t="shared" si="9"/>
        <v>1173.08</v>
      </c>
      <c r="P19" s="53">
        <f t="shared" si="10"/>
        <v>0</v>
      </c>
    </row>
    <row r="20" spans="1:21" ht="15" thickBot="1">
      <c r="A20" s="37" t="s">
        <v>50</v>
      </c>
      <c r="B20" s="1" t="s">
        <v>51</v>
      </c>
      <c r="C20" s="1">
        <v>30</v>
      </c>
      <c r="D20" s="1" t="s">
        <v>48</v>
      </c>
      <c r="E20" s="1">
        <v>115</v>
      </c>
      <c r="G20" s="4">
        <f t="shared" si="7"/>
        <v>109.25</v>
      </c>
      <c r="H20" s="1">
        <v>127.72</v>
      </c>
      <c r="I20" s="1">
        <f t="shared" si="8"/>
        <v>3450</v>
      </c>
      <c r="J20" s="1">
        <f t="shared" si="3"/>
        <v>381.59999999999997</v>
      </c>
      <c r="K20" s="27">
        <f t="shared" si="4"/>
        <v>0.11060869565217391</v>
      </c>
      <c r="L20" s="10">
        <f t="shared" si="5"/>
        <v>0</v>
      </c>
      <c r="N20" s="51">
        <f t="shared" ref="N20:N83" si="11">IF(M20&lt;&gt;"",K20,0)</f>
        <v>0</v>
      </c>
      <c r="O20" s="52">
        <f t="shared" si="9"/>
        <v>0</v>
      </c>
      <c r="P20" s="53">
        <f t="shared" si="10"/>
        <v>0</v>
      </c>
    </row>
    <row r="21" spans="1:21" ht="15" thickBot="1">
      <c r="A21" s="49">
        <v>45456</v>
      </c>
      <c r="B21" s="50" t="s">
        <v>52</v>
      </c>
      <c r="C21" s="1">
        <v>4</v>
      </c>
      <c r="D21" s="1" t="s">
        <v>48</v>
      </c>
      <c r="E21" s="1">
        <v>231.06</v>
      </c>
      <c r="G21" s="4">
        <f t="shared" si="7"/>
        <v>219.50700000000001</v>
      </c>
      <c r="H21" s="1">
        <v>241.75</v>
      </c>
      <c r="I21" s="1">
        <f t="shared" si="8"/>
        <v>924.24</v>
      </c>
      <c r="J21" s="1">
        <f t="shared" si="3"/>
        <v>42.759999999999991</v>
      </c>
      <c r="K21" s="27">
        <f t="shared" si="4"/>
        <v>4.6265039383709849E-2</v>
      </c>
      <c r="L21" s="10">
        <f t="shared" si="5"/>
        <v>1</v>
      </c>
      <c r="M21" s="6">
        <v>45098</v>
      </c>
      <c r="N21" s="51">
        <f t="shared" si="11"/>
        <v>4.6265039383709849E-2</v>
      </c>
      <c r="O21" s="52">
        <f t="shared" si="9"/>
        <v>924.24</v>
      </c>
      <c r="P21" s="53">
        <f t="shared" si="10"/>
        <v>0</v>
      </c>
      <c r="Q21">
        <f>SUM($I$17:I20)</f>
        <v>6923.6399999999994</v>
      </c>
      <c r="R21">
        <f>SUM($J$17:J20)</f>
        <v>646.26000000000022</v>
      </c>
      <c r="S21" s="9">
        <f t="shared" ref="S21:S45" si="12">R21/Q21</f>
        <v>9.334107492590607E-2</v>
      </c>
    </row>
    <row r="22" spans="1:21" ht="15" thickBot="1">
      <c r="A22" s="49" t="s">
        <v>53</v>
      </c>
      <c r="B22" s="50" t="s">
        <v>54</v>
      </c>
      <c r="C22" s="1">
        <v>6</v>
      </c>
      <c r="D22" s="1" t="s">
        <v>48</v>
      </c>
      <c r="E22" s="1">
        <v>139.1</v>
      </c>
      <c r="G22" s="4">
        <f t="shared" si="7"/>
        <v>132.14499999999998</v>
      </c>
      <c r="H22" s="1">
        <v>134.53</v>
      </c>
      <c r="I22" s="1">
        <f t="shared" si="8"/>
        <v>834.59999999999991</v>
      </c>
      <c r="J22" s="1">
        <f t="shared" si="3"/>
        <v>-27.419999999999959</v>
      </c>
      <c r="K22" s="27">
        <f t="shared" si="4"/>
        <v>-3.2854061826024399E-2</v>
      </c>
      <c r="L22" s="10">
        <f t="shared" si="5"/>
        <v>1</v>
      </c>
      <c r="M22" s="6">
        <v>45471</v>
      </c>
      <c r="N22" s="51">
        <f t="shared" si="11"/>
        <v>-3.2854061826024399E-2</v>
      </c>
      <c r="O22" s="52">
        <f t="shared" si="9"/>
        <v>834.59999999999991</v>
      </c>
      <c r="P22" s="53">
        <f t="shared" si="10"/>
        <v>0</v>
      </c>
      <c r="Q22">
        <f>SUM($I$17:I21)</f>
        <v>7847.8799999999992</v>
      </c>
      <c r="R22">
        <f>SUM($J$17:J21)</f>
        <v>689.02000000000021</v>
      </c>
      <c r="S22" s="9">
        <f t="shared" si="12"/>
        <v>8.779695917878462E-2</v>
      </c>
      <c r="T22" s="9">
        <v>280</v>
      </c>
      <c r="U22">
        <f>T22/5500</f>
        <v>5.0909090909090911E-2</v>
      </c>
    </row>
    <row r="23" spans="1:21" ht="15" thickBot="1">
      <c r="A23" s="49">
        <v>45478</v>
      </c>
      <c r="B23" s="50" t="s">
        <v>55</v>
      </c>
      <c r="C23" s="1">
        <v>15</v>
      </c>
      <c r="D23" s="1" t="s">
        <v>48</v>
      </c>
      <c r="E23" s="1">
        <v>36.22</v>
      </c>
      <c r="G23" s="4">
        <f t="shared" si="7"/>
        <v>34.408999999999999</v>
      </c>
      <c r="H23" s="1">
        <v>37.5</v>
      </c>
      <c r="I23" s="1">
        <f t="shared" si="8"/>
        <v>543.29999999999995</v>
      </c>
      <c r="J23" s="1">
        <f t="shared" si="3"/>
        <v>19.200000000000017</v>
      </c>
      <c r="K23" s="27">
        <f t="shared" si="4"/>
        <v>3.5339591385974631E-2</v>
      </c>
      <c r="L23" s="10">
        <f t="shared" si="5"/>
        <v>1</v>
      </c>
      <c r="M23" s="6">
        <v>45483</v>
      </c>
      <c r="N23" s="51">
        <f t="shared" si="11"/>
        <v>3.5339591385974631E-2</v>
      </c>
      <c r="O23" s="52">
        <f t="shared" si="9"/>
        <v>543.29999999999995</v>
      </c>
      <c r="P23" s="53">
        <f t="shared" si="10"/>
        <v>0</v>
      </c>
      <c r="Q23">
        <f>SUM($I$17:I22)</f>
        <v>8682.48</v>
      </c>
      <c r="R23">
        <f>SUM($J$17:J22)</f>
        <v>661.60000000000025</v>
      </c>
      <c r="S23" s="9">
        <f t="shared" si="12"/>
        <v>7.6199426891855812E-2</v>
      </c>
      <c r="U23">
        <f t="shared" ref="U23:U68" si="13">T23/5500</f>
        <v>0</v>
      </c>
    </row>
    <row r="24" spans="1:21" ht="15" thickBot="1">
      <c r="A24" s="49">
        <v>45490</v>
      </c>
      <c r="B24" s="50" t="s">
        <v>51</v>
      </c>
      <c r="C24" s="1">
        <v>7</v>
      </c>
      <c r="D24" s="1" t="s">
        <v>48</v>
      </c>
      <c r="E24" s="1">
        <v>119.22</v>
      </c>
      <c r="F24" s="54"/>
      <c r="G24" s="4">
        <f t="shared" si="7"/>
        <v>113.259</v>
      </c>
      <c r="H24" s="1">
        <v>122.8</v>
      </c>
      <c r="I24" s="1">
        <f t="shared" si="8"/>
        <v>834.54</v>
      </c>
      <c r="J24" s="1">
        <f t="shared" si="3"/>
        <v>25.059999999999988</v>
      </c>
      <c r="K24" s="27">
        <f t="shared" si="4"/>
        <v>3.0028518704915269E-2</v>
      </c>
      <c r="L24" s="10">
        <f t="shared" si="5"/>
        <v>1</v>
      </c>
      <c r="M24" s="6">
        <v>45494</v>
      </c>
      <c r="N24" s="51">
        <f t="shared" si="11"/>
        <v>3.0028518704915269E-2</v>
      </c>
      <c r="O24" s="52">
        <f t="shared" si="9"/>
        <v>834.54</v>
      </c>
      <c r="P24" s="53">
        <f t="shared" si="10"/>
        <v>0</v>
      </c>
      <c r="Q24">
        <f>SUM($I$17:I23)</f>
        <v>9225.7799999999988</v>
      </c>
      <c r="R24">
        <f>SUM($J$17:J23)</f>
        <v>680.8000000000003</v>
      </c>
      <c r="S24" s="9">
        <f t="shared" si="12"/>
        <v>7.379321856796936E-2</v>
      </c>
      <c r="U24">
        <f t="shared" si="13"/>
        <v>0</v>
      </c>
    </row>
    <row r="25" spans="1:21" ht="15" thickBot="1">
      <c r="A25" s="37">
        <v>45490</v>
      </c>
      <c r="B25" s="1" t="s">
        <v>56</v>
      </c>
      <c r="C25" s="1">
        <v>11</v>
      </c>
      <c r="D25" s="1" t="s">
        <v>48</v>
      </c>
      <c r="E25" s="1">
        <v>111.68</v>
      </c>
      <c r="G25" s="4">
        <f t="shared" si="7"/>
        <v>106.096</v>
      </c>
      <c r="H25" s="1">
        <v>112.27</v>
      </c>
      <c r="I25" s="1">
        <f t="shared" si="8"/>
        <v>1228.48</v>
      </c>
      <c r="J25" s="1">
        <f t="shared" si="3"/>
        <v>6.4899999999998812</v>
      </c>
      <c r="K25" s="27">
        <f t="shared" si="4"/>
        <v>5.2829512893981835E-3</v>
      </c>
      <c r="L25" s="10">
        <f t="shared" si="5"/>
        <v>0</v>
      </c>
      <c r="N25" s="51">
        <f t="shared" si="11"/>
        <v>0</v>
      </c>
      <c r="O25" s="52">
        <f t="shared" si="9"/>
        <v>0</v>
      </c>
      <c r="P25" s="53">
        <f t="shared" si="10"/>
        <v>0</v>
      </c>
      <c r="Q25">
        <f>SUM($I$17:I24)</f>
        <v>10060.32</v>
      </c>
      <c r="R25">
        <f>SUM($J$17:J24)</f>
        <v>705.86000000000024</v>
      </c>
      <c r="S25" s="9">
        <f t="shared" si="12"/>
        <v>7.0162778122365918E-2</v>
      </c>
      <c r="U25">
        <f t="shared" si="13"/>
        <v>0</v>
      </c>
    </row>
    <row r="26" spans="1:21" ht="15" thickBot="1">
      <c r="A26" s="37">
        <v>45492</v>
      </c>
      <c r="B26" s="50" t="s">
        <v>47</v>
      </c>
      <c r="C26" s="1">
        <v>5</v>
      </c>
      <c r="D26" s="1" t="s">
        <v>48</v>
      </c>
      <c r="E26" s="1">
        <v>78.5</v>
      </c>
      <c r="G26" s="4">
        <f t="shared" si="7"/>
        <v>74.575000000000003</v>
      </c>
      <c r="H26" s="1">
        <v>80.849999999999994</v>
      </c>
      <c r="I26" s="1">
        <f t="shared" si="8"/>
        <v>392.5</v>
      </c>
      <c r="J26" s="1">
        <f t="shared" si="3"/>
        <v>11.749999999999972</v>
      </c>
      <c r="K26" s="27">
        <f t="shared" si="4"/>
        <v>2.9936305732484004E-2</v>
      </c>
      <c r="L26" s="10">
        <f t="shared" si="5"/>
        <v>1</v>
      </c>
      <c r="M26" s="6">
        <v>45499</v>
      </c>
      <c r="N26" s="51">
        <f t="shared" si="11"/>
        <v>2.9936305732484004E-2</v>
      </c>
      <c r="O26" s="52">
        <f t="shared" si="9"/>
        <v>392.5</v>
      </c>
      <c r="P26" s="53">
        <f t="shared" si="10"/>
        <v>0</v>
      </c>
      <c r="Q26">
        <f>SUM($I$17:I25)</f>
        <v>11288.8</v>
      </c>
      <c r="R26">
        <f>SUM($J$17:J25)</f>
        <v>712.35000000000014</v>
      </c>
      <c r="S26" s="9">
        <f t="shared" si="12"/>
        <v>6.3102366947771257E-2</v>
      </c>
      <c r="U26">
        <f t="shared" si="13"/>
        <v>0</v>
      </c>
    </row>
    <row r="27" spans="1:21" ht="15" thickBot="1">
      <c r="A27" s="37" t="s">
        <v>57</v>
      </c>
      <c r="B27" s="50" t="s">
        <v>58</v>
      </c>
      <c r="C27" s="1">
        <v>35</v>
      </c>
      <c r="D27" s="1" t="s">
        <v>48</v>
      </c>
      <c r="E27" s="1">
        <v>15.79</v>
      </c>
      <c r="G27" s="4">
        <f t="shared" si="7"/>
        <v>15.000499999999999</v>
      </c>
      <c r="H27" s="1">
        <v>16.45</v>
      </c>
      <c r="I27" s="1">
        <f t="shared" si="8"/>
        <v>552.65</v>
      </c>
      <c r="J27" s="1">
        <f t="shared" si="3"/>
        <v>23.100000000000005</v>
      </c>
      <c r="K27" s="27">
        <f t="shared" si="4"/>
        <v>4.1798606713109573E-2</v>
      </c>
      <c r="L27" s="10">
        <f t="shared" si="5"/>
        <v>1</v>
      </c>
      <c r="M27" s="6">
        <v>45527</v>
      </c>
      <c r="N27" s="51">
        <f t="shared" si="11"/>
        <v>4.1798606713109573E-2</v>
      </c>
      <c r="O27" s="52">
        <f t="shared" si="9"/>
        <v>552.65</v>
      </c>
      <c r="P27" s="53">
        <f t="shared" si="10"/>
        <v>0</v>
      </c>
      <c r="Q27">
        <f>SUM($I$17:I26)</f>
        <v>11681.3</v>
      </c>
      <c r="R27">
        <f>SUM($J$17:J26)</f>
        <v>724.10000000000014</v>
      </c>
      <c r="S27" s="9">
        <f t="shared" si="12"/>
        <v>6.1987963668427334E-2</v>
      </c>
      <c r="U27">
        <f t="shared" si="13"/>
        <v>0</v>
      </c>
    </row>
    <row r="28" spans="1:21" ht="15" thickBot="1">
      <c r="A28" s="37">
        <v>45497</v>
      </c>
      <c r="B28" s="50" t="s">
        <v>59</v>
      </c>
      <c r="C28" s="1">
        <v>4</v>
      </c>
      <c r="D28" s="1" t="s">
        <v>48</v>
      </c>
      <c r="E28" s="1">
        <v>161.22999999999999</v>
      </c>
      <c r="G28" s="4">
        <f t="shared" si="7"/>
        <v>153.16849999999999</v>
      </c>
      <c r="H28" s="1">
        <v>164.5</v>
      </c>
      <c r="I28" s="1">
        <f t="shared" si="8"/>
        <v>644.91999999999996</v>
      </c>
      <c r="J28" s="1">
        <f t="shared" si="3"/>
        <v>13.080000000000041</v>
      </c>
      <c r="K28" s="27">
        <f t="shared" si="4"/>
        <v>2.028158531290709E-2</v>
      </c>
      <c r="L28" s="10">
        <f t="shared" si="5"/>
        <v>1</v>
      </c>
      <c r="M28" s="6">
        <v>45504</v>
      </c>
      <c r="N28" s="51">
        <f t="shared" si="11"/>
        <v>2.028158531290709E-2</v>
      </c>
      <c r="O28" s="52">
        <f t="shared" si="9"/>
        <v>644.91999999999996</v>
      </c>
      <c r="P28" s="53">
        <f t="shared" si="10"/>
        <v>0</v>
      </c>
      <c r="Q28">
        <f>SUM($I$17:I27)</f>
        <v>12233.949999999999</v>
      </c>
      <c r="R28">
        <f>SUM($J$17:J27)</f>
        <v>747.20000000000016</v>
      </c>
      <c r="S28" s="9">
        <f t="shared" si="12"/>
        <v>6.1075940313635432E-2</v>
      </c>
      <c r="T28" s="9">
        <v>69</v>
      </c>
      <c r="U28">
        <f t="shared" si="13"/>
        <v>1.2545454545454545E-2</v>
      </c>
    </row>
    <row r="29" spans="1:21" ht="15" thickBot="1">
      <c r="A29" s="37">
        <v>45497</v>
      </c>
      <c r="B29" s="50" t="s">
        <v>60</v>
      </c>
      <c r="C29" s="1">
        <v>5</v>
      </c>
      <c r="D29" s="1" t="s">
        <v>48</v>
      </c>
      <c r="E29" s="1">
        <v>114</v>
      </c>
      <c r="G29" s="4">
        <f t="shared" si="7"/>
        <v>108.3</v>
      </c>
      <c r="H29" s="1">
        <v>117.34</v>
      </c>
      <c r="I29" s="1">
        <f t="shared" si="8"/>
        <v>570</v>
      </c>
      <c r="J29" s="1">
        <f t="shared" si="3"/>
        <v>16.700000000000017</v>
      </c>
      <c r="K29" s="27">
        <f t="shared" si="4"/>
        <v>2.9298245614035118E-2</v>
      </c>
      <c r="L29" s="10">
        <f>IF(M29&lt;&gt;"",1,0)</f>
        <v>1</v>
      </c>
      <c r="M29" s="6">
        <v>45505</v>
      </c>
      <c r="N29" s="51">
        <f t="shared" si="11"/>
        <v>2.9298245614035118E-2</v>
      </c>
      <c r="O29" s="52">
        <f t="shared" si="9"/>
        <v>570</v>
      </c>
      <c r="P29" s="53">
        <f t="shared" si="10"/>
        <v>0</v>
      </c>
      <c r="Q29">
        <f>SUM($I$17:I28)</f>
        <v>12878.869999999999</v>
      </c>
      <c r="R29">
        <f>SUM($J$17:J28)</f>
        <v>760.2800000000002</v>
      </c>
      <c r="S29" s="9">
        <f t="shared" si="12"/>
        <v>5.903312945933923E-2</v>
      </c>
      <c r="U29">
        <f t="shared" si="13"/>
        <v>0</v>
      </c>
    </row>
    <row r="30" spans="1:21" ht="15" thickBot="1">
      <c r="A30" s="37" t="s">
        <v>61</v>
      </c>
      <c r="B30" s="50" t="s">
        <v>62</v>
      </c>
      <c r="C30" s="1">
        <v>20</v>
      </c>
      <c r="D30" s="1" t="s">
        <v>48</v>
      </c>
      <c r="E30" s="1">
        <v>63.8</v>
      </c>
      <c r="G30" s="4">
        <f t="shared" si="7"/>
        <v>60.61</v>
      </c>
      <c r="H30" s="1">
        <v>65.73</v>
      </c>
      <c r="I30" s="1">
        <f t="shared" si="8"/>
        <v>1276</v>
      </c>
      <c r="J30" s="1">
        <f t="shared" si="3"/>
        <v>38.600000000000136</v>
      </c>
      <c r="K30" s="27">
        <f t="shared" si="4"/>
        <v>3.0250783699059671E-2</v>
      </c>
      <c r="L30" s="10">
        <f t="shared" ref="L30:L93" si="14">IF(M30&lt;&gt;"",1,0)</f>
        <v>1</v>
      </c>
      <c r="M30" s="6">
        <v>45519</v>
      </c>
      <c r="N30" s="51">
        <f t="shared" si="11"/>
        <v>3.0250783699059671E-2</v>
      </c>
      <c r="O30" s="52">
        <f t="shared" si="9"/>
        <v>1276</v>
      </c>
      <c r="P30" s="53">
        <f t="shared" si="10"/>
        <v>0</v>
      </c>
      <c r="Q30">
        <f>SUM($I$17:I29)</f>
        <v>13448.869999999999</v>
      </c>
      <c r="R30">
        <f>SUM($J$17:J29)</f>
        <v>776.98000000000025</v>
      </c>
      <c r="S30" s="9">
        <f t="shared" si="12"/>
        <v>5.7772883521069081E-2</v>
      </c>
      <c r="U30">
        <f t="shared" si="13"/>
        <v>0</v>
      </c>
    </row>
    <row r="31" spans="1:21" ht="15" thickBot="1">
      <c r="A31" s="37">
        <v>45502</v>
      </c>
      <c r="B31" s="50" t="s">
        <v>63</v>
      </c>
      <c r="C31" s="1">
        <v>5</v>
      </c>
      <c r="D31" s="1" t="s">
        <v>48</v>
      </c>
      <c r="E31" s="1">
        <v>189.76</v>
      </c>
      <c r="G31" s="4">
        <f t="shared" si="7"/>
        <v>180.27199999999999</v>
      </c>
      <c r="H31" s="1">
        <v>184.55</v>
      </c>
      <c r="I31" s="1">
        <f t="shared" si="8"/>
        <v>948.8</v>
      </c>
      <c r="J31" s="1">
        <f t="shared" si="3"/>
        <v>-26.049999999999898</v>
      </c>
      <c r="K31" s="55">
        <f t="shared" si="4"/>
        <v>-2.7455733558178645E-2</v>
      </c>
      <c r="L31" s="10">
        <f t="shared" si="14"/>
        <v>1</v>
      </c>
      <c r="M31" s="6">
        <v>45509</v>
      </c>
      <c r="N31" s="51">
        <f t="shared" si="11"/>
        <v>-2.7455733558178645E-2</v>
      </c>
      <c r="O31" s="52">
        <f t="shared" si="9"/>
        <v>948.8</v>
      </c>
      <c r="P31" s="53">
        <f t="shared" si="10"/>
        <v>0</v>
      </c>
      <c r="Q31">
        <f>SUM($I$17:I30)</f>
        <v>14724.869999999999</v>
      </c>
      <c r="R31">
        <f>SUM($J$17:J30)</f>
        <v>815.58000000000038</v>
      </c>
      <c r="S31" s="9">
        <f t="shared" si="12"/>
        <v>5.5387925326335678E-2</v>
      </c>
      <c r="U31">
        <f t="shared" si="13"/>
        <v>0</v>
      </c>
    </row>
    <row r="32" spans="1:21" ht="15" thickBot="1">
      <c r="A32" s="37">
        <v>45509</v>
      </c>
      <c r="B32" s="50" t="s">
        <v>41</v>
      </c>
      <c r="C32" s="1">
        <v>2</v>
      </c>
      <c r="D32" s="1" t="s">
        <v>48</v>
      </c>
      <c r="E32" s="1">
        <v>160.01</v>
      </c>
      <c r="G32" s="4">
        <f t="shared" si="7"/>
        <v>152.0095</v>
      </c>
      <c r="H32" s="1">
        <v>176.95</v>
      </c>
      <c r="I32" s="1">
        <f t="shared" si="8"/>
        <v>320.02</v>
      </c>
      <c r="J32" s="1">
        <f t="shared" si="3"/>
        <v>33.879999999999995</v>
      </c>
      <c r="K32" s="27">
        <f t="shared" si="4"/>
        <v>0.10586838322604836</v>
      </c>
      <c r="L32" s="10">
        <f t="shared" si="14"/>
        <v>1</v>
      </c>
      <c r="M32" s="6">
        <v>45520</v>
      </c>
      <c r="N32" s="51">
        <f t="shared" si="11"/>
        <v>0.10586838322604836</v>
      </c>
      <c r="O32" s="52">
        <f t="shared" si="9"/>
        <v>320.02</v>
      </c>
      <c r="P32" s="53">
        <f t="shared" si="10"/>
        <v>0</v>
      </c>
      <c r="Q32">
        <f>SUM($I$17:I31)</f>
        <v>15673.669999999998</v>
      </c>
      <c r="R32">
        <f>SUM($J$17:J31)</f>
        <v>789.53000000000043</v>
      </c>
      <c r="S32" s="9">
        <f t="shared" si="12"/>
        <v>5.0373014105822088E-2</v>
      </c>
      <c r="U32">
        <f t="shared" si="13"/>
        <v>0</v>
      </c>
    </row>
    <row r="33" spans="1:21" ht="15" thickBot="1">
      <c r="A33" s="37" t="s">
        <v>64</v>
      </c>
      <c r="B33" s="50" t="s">
        <v>43</v>
      </c>
      <c r="C33" s="1">
        <v>7</v>
      </c>
      <c r="D33" s="1" t="s">
        <v>48</v>
      </c>
      <c r="E33" s="1">
        <v>162.97999999999999</v>
      </c>
      <c r="G33" s="4">
        <v>154.9</v>
      </c>
      <c r="H33" s="1">
        <v>167</v>
      </c>
      <c r="I33" s="1">
        <f t="shared" si="8"/>
        <v>1140.8599999999999</v>
      </c>
      <c r="J33" s="1">
        <f t="shared" si="3"/>
        <v>28.140000000000072</v>
      </c>
      <c r="K33" s="27">
        <f t="shared" si="4"/>
        <v>2.4665603141489818E-2</v>
      </c>
      <c r="L33" s="10">
        <f t="shared" si="14"/>
        <v>1</v>
      </c>
      <c r="M33" s="6">
        <v>45566</v>
      </c>
      <c r="N33" s="51">
        <f t="shared" si="11"/>
        <v>2.4665603141489818E-2</v>
      </c>
      <c r="O33" s="52">
        <f t="shared" si="9"/>
        <v>1140.8599999999999</v>
      </c>
      <c r="P33" s="53">
        <f t="shared" si="10"/>
        <v>0</v>
      </c>
      <c r="Q33">
        <f>SUM($I$17:I32)</f>
        <v>15993.689999999999</v>
      </c>
      <c r="R33">
        <f>SUM($J$17:J32)</f>
        <v>823.41000000000042</v>
      </c>
      <c r="S33" s="9">
        <f t="shared" si="12"/>
        <v>5.1483428777224047E-2</v>
      </c>
      <c r="U33">
        <f t="shared" si="13"/>
        <v>0</v>
      </c>
    </row>
    <row r="34" spans="1:21" ht="15" thickBot="1">
      <c r="A34" s="37">
        <v>45524</v>
      </c>
      <c r="B34" s="50" t="s">
        <v>65</v>
      </c>
      <c r="C34" s="1">
        <v>3</v>
      </c>
      <c r="D34" s="1" t="s">
        <v>48</v>
      </c>
      <c r="E34" s="1">
        <v>89.55</v>
      </c>
      <c r="G34" s="4">
        <f t="shared" si="7"/>
        <v>85.072499999999991</v>
      </c>
      <c r="H34" s="1">
        <v>89.05</v>
      </c>
      <c r="I34" s="1">
        <f t="shared" si="8"/>
        <v>268.64999999999998</v>
      </c>
      <c r="J34" s="1">
        <f t="shared" si="3"/>
        <v>-1.5</v>
      </c>
      <c r="K34" s="55">
        <f t="shared" si="4"/>
        <v>-5.5834729201563373E-3</v>
      </c>
      <c r="L34" s="10">
        <f t="shared" si="14"/>
        <v>1</v>
      </c>
      <c r="M34" s="6">
        <v>45532</v>
      </c>
      <c r="N34" s="51">
        <f t="shared" si="11"/>
        <v>-5.5834729201563373E-3</v>
      </c>
      <c r="O34" s="52">
        <f t="shared" si="9"/>
        <v>268.64999999999998</v>
      </c>
      <c r="P34" s="53">
        <f t="shared" si="10"/>
        <v>0</v>
      </c>
      <c r="Q34">
        <f>SUM($I$17:I33)</f>
        <v>17134.55</v>
      </c>
      <c r="R34">
        <f>SUM($J$17:J33)</f>
        <v>851.55000000000052</v>
      </c>
      <c r="S34" s="9">
        <f t="shared" si="12"/>
        <v>4.969783274144933E-2</v>
      </c>
      <c r="U34">
        <f t="shared" si="13"/>
        <v>0</v>
      </c>
    </row>
    <row r="35" spans="1:21" ht="15" thickBot="1">
      <c r="A35" s="37">
        <v>45524</v>
      </c>
      <c r="B35" s="50" t="s">
        <v>66</v>
      </c>
      <c r="C35" s="1">
        <v>5</v>
      </c>
      <c r="D35" s="1" t="s">
        <v>48</v>
      </c>
      <c r="E35" s="1">
        <v>69.5</v>
      </c>
      <c r="G35" s="4">
        <f t="shared" si="7"/>
        <v>66.025000000000006</v>
      </c>
      <c r="H35" s="1">
        <v>71.45</v>
      </c>
      <c r="I35" s="1">
        <f t="shared" si="8"/>
        <v>347.5</v>
      </c>
      <c r="J35" s="1">
        <f t="shared" si="3"/>
        <v>9.7500000000000142</v>
      </c>
      <c r="K35" s="27">
        <f t="shared" si="4"/>
        <v>2.8057553956834572E-2</v>
      </c>
      <c r="L35" s="10">
        <f t="shared" si="14"/>
        <v>1</v>
      </c>
      <c r="M35" s="6">
        <v>45527</v>
      </c>
      <c r="N35" s="51">
        <f t="shared" si="11"/>
        <v>2.8057553956834572E-2</v>
      </c>
      <c r="O35" s="52">
        <f t="shared" si="9"/>
        <v>347.5</v>
      </c>
      <c r="P35" s="53">
        <f t="shared" si="10"/>
        <v>0</v>
      </c>
      <c r="Q35">
        <f>SUM($I$17:I34)</f>
        <v>17403.2</v>
      </c>
      <c r="R35">
        <f>SUM($J$17:J34)</f>
        <v>850.05000000000052</v>
      </c>
      <c r="S35" s="9">
        <f t="shared" si="12"/>
        <v>4.8844465385676224E-2</v>
      </c>
      <c r="U35">
        <f t="shared" si="13"/>
        <v>0</v>
      </c>
    </row>
    <row r="36" spans="1:21" ht="15" thickBot="1">
      <c r="A36" s="37">
        <v>45526</v>
      </c>
      <c r="B36" s="50" t="s">
        <v>67</v>
      </c>
      <c r="C36" s="1">
        <v>5</v>
      </c>
      <c r="D36" s="1" t="s">
        <v>48</v>
      </c>
      <c r="E36" s="1">
        <v>33.25</v>
      </c>
      <c r="G36" s="4">
        <f t="shared" si="7"/>
        <v>31.587499999999999</v>
      </c>
      <c r="H36" s="1">
        <v>34.6</v>
      </c>
      <c r="I36" s="1">
        <f t="shared" si="8"/>
        <v>166.25</v>
      </c>
      <c r="J36" s="1">
        <f t="shared" si="3"/>
        <v>6.7500000000000071</v>
      </c>
      <c r="K36" s="27">
        <f t="shared" si="4"/>
        <v>4.0601503759398541E-2</v>
      </c>
      <c r="L36" s="10">
        <f t="shared" si="14"/>
        <v>1</v>
      </c>
      <c r="M36" s="6">
        <v>45538</v>
      </c>
      <c r="N36" s="51">
        <f t="shared" si="11"/>
        <v>4.0601503759398541E-2</v>
      </c>
      <c r="O36" s="52">
        <f t="shared" si="9"/>
        <v>166.25</v>
      </c>
      <c r="P36" s="53">
        <f t="shared" si="10"/>
        <v>0</v>
      </c>
      <c r="Q36">
        <f>SUM($I$17:I35)</f>
        <v>17750.7</v>
      </c>
      <c r="R36">
        <f>SUM($J$17:J35)</f>
        <v>859.80000000000052</v>
      </c>
      <c r="S36" s="9">
        <f t="shared" si="12"/>
        <v>4.8437526407409316E-2</v>
      </c>
      <c r="U36">
        <f t="shared" si="13"/>
        <v>0</v>
      </c>
    </row>
    <row r="37" spans="1:21" ht="15" thickBot="1">
      <c r="A37" s="37">
        <v>45526</v>
      </c>
      <c r="B37" s="56" t="s">
        <v>68</v>
      </c>
      <c r="C37" s="1">
        <v>15</v>
      </c>
      <c r="D37" s="1" t="s">
        <v>48</v>
      </c>
      <c r="E37" s="1">
        <v>24.2</v>
      </c>
      <c r="G37" s="4">
        <f t="shared" si="7"/>
        <v>22.99</v>
      </c>
      <c r="H37" s="1">
        <v>23.2</v>
      </c>
      <c r="I37" s="1">
        <f t="shared" si="8"/>
        <v>363</v>
      </c>
      <c r="J37" s="1">
        <f t="shared" si="3"/>
        <v>-15</v>
      </c>
      <c r="K37" s="55">
        <f t="shared" si="4"/>
        <v>-4.1322314049586778E-2</v>
      </c>
      <c r="L37" s="10">
        <f t="shared" si="14"/>
        <v>1</v>
      </c>
      <c r="M37" s="6">
        <v>45532</v>
      </c>
      <c r="N37" s="51">
        <f t="shared" si="11"/>
        <v>-4.1322314049586778E-2</v>
      </c>
      <c r="O37" s="52">
        <f t="shared" si="9"/>
        <v>363</v>
      </c>
      <c r="P37" s="53">
        <f t="shared" si="10"/>
        <v>0</v>
      </c>
      <c r="Q37">
        <f>SUM($I$17:I36)</f>
        <v>17916.95</v>
      </c>
      <c r="R37">
        <f>SUM($J$17:J36)</f>
        <v>866.55000000000052</v>
      </c>
      <c r="S37" s="9">
        <f t="shared" si="12"/>
        <v>4.836481655638937E-2</v>
      </c>
      <c r="T37" s="9">
        <v>79.48</v>
      </c>
      <c r="U37">
        <f t="shared" si="13"/>
        <v>1.4450909090909092E-2</v>
      </c>
    </row>
    <row r="38" spans="1:21" ht="15" thickBot="1">
      <c r="A38" s="1" t="s">
        <v>69</v>
      </c>
      <c r="B38" s="57" t="s">
        <v>70</v>
      </c>
      <c r="C38" s="1">
        <v>5</v>
      </c>
      <c r="D38" s="1" t="s">
        <v>48</v>
      </c>
      <c r="E38" s="1">
        <v>137.97999999999999</v>
      </c>
      <c r="G38" s="4">
        <f t="shared" si="7"/>
        <v>131.08099999999999</v>
      </c>
      <c r="H38" s="1">
        <v>140.80000000000001</v>
      </c>
      <c r="I38" s="1">
        <f t="shared" si="8"/>
        <v>689.9</v>
      </c>
      <c r="J38" s="1">
        <f t="shared" si="3"/>
        <v>14.100000000000108</v>
      </c>
      <c r="K38" s="27">
        <f t="shared" si="4"/>
        <v>2.043774460066692E-2</v>
      </c>
      <c r="L38" s="10">
        <f t="shared" si="14"/>
        <v>1</v>
      </c>
      <c r="M38" s="6">
        <v>45540</v>
      </c>
      <c r="N38" s="51">
        <f t="shared" si="11"/>
        <v>2.043774460066692E-2</v>
      </c>
      <c r="O38" s="52">
        <f t="shared" si="9"/>
        <v>689.9</v>
      </c>
      <c r="P38" s="53">
        <f t="shared" si="10"/>
        <v>0</v>
      </c>
      <c r="Q38">
        <f>SUM($I$17:I37)</f>
        <v>18279.95</v>
      </c>
      <c r="R38">
        <f>SUM($J$17:J37)</f>
        <v>851.55000000000052</v>
      </c>
      <c r="S38" s="9">
        <f t="shared" si="12"/>
        <v>4.6583825448100268E-2</v>
      </c>
      <c r="U38">
        <f t="shared" si="13"/>
        <v>0</v>
      </c>
    </row>
    <row r="39" spans="1:21" ht="15" thickBot="1">
      <c r="A39" s="37">
        <v>45528</v>
      </c>
      <c r="B39" s="50" t="s">
        <v>71</v>
      </c>
      <c r="C39" s="1">
        <v>3</v>
      </c>
      <c r="D39" s="1" t="s">
        <v>48</v>
      </c>
      <c r="E39" s="1">
        <v>127.85</v>
      </c>
      <c r="H39" s="1">
        <v>127.9</v>
      </c>
      <c r="I39" s="1">
        <f t="shared" si="8"/>
        <v>383.54999999999995</v>
      </c>
      <c r="J39" s="1">
        <f t="shared" si="3"/>
        <v>0.15000000000003411</v>
      </c>
      <c r="K39" s="27">
        <f t="shared" si="4"/>
        <v>3.9108330074314721E-4</v>
      </c>
      <c r="L39" s="10">
        <f t="shared" si="14"/>
        <v>1</v>
      </c>
      <c r="M39" s="6">
        <v>45538</v>
      </c>
      <c r="N39" s="51">
        <f t="shared" si="11"/>
        <v>3.9108330074314721E-4</v>
      </c>
      <c r="O39" s="52">
        <f t="shared" si="9"/>
        <v>383.54999999999995</v>
      </c>
      <c r="P39" s="53">
        <f t="shared" si="10"/>
        <v>0</v>
      </c>
      <c r="Q39">
        <f>SUM($I$17:I38)</f>
        <v>18969.850000000002</v>
      </c>
      <c r="R39">
        <f>SUM($J$17:J38)</f>
        <v>865.65000000000066</v>
      </c>
      <c r="S39" s="9">
        <f t="shared" si="12"/>
        <v>4.5632938584121673E-2</v>
      </c>
      <c r="U39">
        <f t="shared" si="13"/>
        <v>0</v>
      </c>
    </row>
    <row r="40" spans="1:21" ht="15" thickBot="1">
      <c r="A40" s="37" t="s">
        <v>72</v>
      </c>
      <c r="B40" s="50" t="s">
        <v>73</v>
      </c>
      <c r="C40" s="1">
        <v>3</v>
      </c>
      <c r="D40" s="1" t="s">
        <v>48</v>
      </c>
      <c r="E40" s="1">
        <v>162.88</v>
      </c>
      <c r="F40" s="4">
        <v>170.48</v>
      </c>
      <c r="G40" s="4">
        <v>163</v>
      </c>
      <c r="H40" s="1">
        <v>168.78</v>
      </c>
      <c r="I40" s="1">
        <f t="shared" si="8"/>
        <v>488.64</v>
      </c>
      <c r="J40" s="1">
        <f t="shared" si="3"/>
        <v>17.700000000000017</v>
      </c>
      <c r="K40" s="27">
        <f t="shared" si="4"/>
        <v>3.6222986247544241E-2</v>
      </c>
      <c r="L40" s="10">
        <f t="shared" si="14"/>
        <v>1</v>
      </c>
      <c r="M40" s="6">
        <v>45552</v>
      </c>
      <c r="N40" s="51">
        <f t="shared" si="11"/>
        <v>3.6222986247544241E-2</v>
      </c>
      <c r="O40" s="8">
        <f t="shared" si="9"/>
        <v>488.64</v>
      </c>
      <c r="P40" s="53">
        <f t="shared" si="10"/>
        <v>0</v>
      </c>
      <c r="Q40">
        <f>SUM($I$17:I39)</f>
        <v>19353.400000000001</v>
      </c>
      <c r="R40">
        <f>SUM($J$17:J39)</f>
        <v>865.80000000000064</v>
      </c>
      <c r="S40" s="9">
        <f t="shared" si="12"/>
        <v>4.4736325400188112E-2</v>
      </c>
      <c r="U40">
        <f t="shared" si="13"/>
        <v>0</v>
      </c>
    </row>
    <row r="41" spans="1:21" ht="15" thickBot="1">
      <c r="A41" s="37" t="s">
        <v>72</v>
      </c>
      <c r="B41" s="50" t="s">
        <v>67</v>
      </c>
      <c r="C41" s="1">
        <v>15</v>
      </c>
      <c r="D41" s="1" t="s">
        <v>48</v>
      </c>
      <c r="E41" s="1">
        <v>34.03</v>
      </c>
      <c r="G41" s="4">
        <v>32.67</v>
      </c>
      <c r="H41" s="1">
        <v>34</v>
      </c>
      <c r="I41" s="1">
        <f t="shared" si="8"/>
        <v>510.45000000000005</v>
      </c>
      <c r="J41" s="1">
        <f t="shared" si="3"/>
        <v>-0.45000000000001705</v>
      </c>
      <c r="K41" s="27">
        <f t="shared" si="4"/>
        <v>-8.8157508081108244E-4</v>
      </c>
      <c r="L41" s="10">
        <f t="shared" si="14"/>
        <v>1</v>
      </c>
      <c r="M41" s="6">
        <v>45186</v>
      </c>
      <c r="N41" s="51">
        <f t="shared" si="11"/>
        <v>-8.8157508081108244E-4</v>
      </c>
      <c r="O41" s="8">
        <f t="shared" si="9"/>
        <v>510.45000000000005</v>
      </c>
      <c r="P41" s="53">
        <f t="shared" si="10"/>
        <v>0</v>
      </c>
      <c r="Q41">
        <f>SUM($I$17:I40)</f>
        <v>19842.04</v>
      </c>
      <c r="R41">
        <f>SUM($J$17:J40)</f>
        <v>883.50000000000068</v>
      </c>
      <c r="S41" s="9">
        <f t="shared" si="12"/>
        <v>4.4526671652713158E-2</v>
      </c>
      <c r="U41">
        <f t="shared" si="13"/>
        <v>0</v>
      </c>
    </row>
    <row r="42" spans="1:21" ht="15" thickBot="1">
      <c r="A42" s="49">
        <v>45538</v>
      </c>
      <c r="B42" s="50" t="s">
        <v>60</v>
      </c>
      <c r="C42" s="1">
        <v>3</v>
      </c>
      <c r="D42" s="1" t="s">
        <v>48</v>
      </c>
      <c r="E42" s="1">
        <v>108.68</v>
      </c>
      <c r="H42" s="1">
        <v>120.03</v>
      </c>
      <c r="I42" s="1">
        <f t="shared" si="8"/>
        <v>326.04000000000002</v>
      </c>
      <c r="J42" s="1">
        <f t="shared" si="3"/>
        <v>34.049999999999983</v>
      </c>
      <c r="K42" s="27">
        <f t="shared" si="4"/>
        <v>0.1044350386455649</v>
      </c>
      <c r="L42" s="10">
        <f t="shared" si="14"/>
        <v>1</v>
      </c>
      <c r="M42" s="6">
        <v>45547</v>
      </c>
      <c r="N42" s="51">
        <f t="shared" si="11"/>
        <v>0.1044350386455649</v>
      </c>
      <c r="O42" s="8">
        <f t="shared" si="9"/>
        <v>326.04000000000002</v>
      </c>
      <c r="P42" s="53">
        <f t="shared" si="10"/>
        <v>0</v>
      </c>
      <c r="Q42">
        <f>SUM($I$17:I41)</f>
        <v>20352.490000000002</v>
      </c>
      <c r="R42">
        <f>SUM($J$17:J41)</f>
        <v>883.05000000000064</v>
      </c>
      <c r="S42" s="9">
        <f t="shared" si="12"/>
        <v>4.3387811515937388E-2</v>
      </c>
      <c r="U42">
        <f t="shared" si="13"/>
        <v>0</v>
      </c>
    </row>
    <row r="43" spans="1:21" ht="15" thickBot="1">
      <c r="A43" s="37">
        <v>45548</v>
      </c>
      <c r="B43" s="50" t="s">
        <v>74</v>
      </c>
      <c r="C43" s="1">
        <v>10</v>
      </c>
      <c r="D43" s="1" t="s">
        <v>48</v>
      </c>
      <c r="E43" s="1">
        <v>38.64</v>
      </c>
      <c r="F43" s="4">
        <v>39.79</v>
      </c>
      <c r="G43" s="4">
        <v>38.369999999999997</v>
      </c>
      <c r="H43" s="1">
        <v>39.799999999999997</v>
      </c>
      <c r="I43" s="1">
        <f t="shared" si="8"/>
        <v>386.4</v>
      </c>
      <c r="J43" s="1">
        <f t="shared" si="3"/>
        <v>11.599999999999966</v>
      </c>
      <c r="K43" s="27">
        <f t="shared" si="4"/>
        <v>3.0020703933747322E-2</v>
      </c>
      <c r="L43" s="10">
        <f t="shared" si="14"/>
        <v>1</v>
      </c>
      <c r="M43" s="6">
        <v>45552</v>
      </c>
      <c r="N43" s="7">
        <f t="shared" si="11"/>
        <v>3.0020703933747322E-2</v>
      </c>
      <c r="O43" s="8">
        <f t="shared" si="9"/>
        <v>386.4</v>
      </c>
      <c r="P43" s="53">
        <f t="shared" si="10"/>
        <v>0</v>
      </c>
      <c r="Q43">
        <f>SUM($I$17:I42)</f>
        <v>20678.530000000002</v>
      </c>
      <c r="R43">
        <f>SUM($J$17:J42)</f>
        <v>917.10000000000059</v>
      </c>
      <c r="S43" s="9">
        <f t="shared" si="12"/>
        <v>4.4350347921249741E-2</v>
      </c>
      <c r="U43">
        <f t="shared" si="13"/>
        <v>0</v>
      </c>
    </row>
    <row r="44" spans="1:21" ht="15" thickBot="1">
      <c r="A44" s="1" t="s">
        <v>75</v>
      </c>
      <c r="B44" s="50" t="s">
        <v>76</v>
      </c>
      <c r="C44" s="1">
        <v>15</v>
      </c>
      <c r="D44" s="1" t="s">
        <v>48</v>
      </c>
      <c r="E44" s="1">
        <v>16.05</v>
      </c>
      <c r="G44" s="4">
        <v>15.6</v>
      </c>
      <c r="H44" s="1">
        <v>16.55</v>
      </c>
      <c r="I44" s="1">
        <f t="shared" si="8"/>
        <v>240.75</v>
      </c>
      <c r="J44" s="1">
        <f t="shared" si="3"/>
        <v>7.5</v>
      </c>
      <c r="K44" s="27">
        <f t="shared" si="4"/>
        <v>3.1152647975077882E-2</v>
      </c>
      <c r="L44" s="10">
        <f t="shared" si="14"/>
        <v>1</v>
      </c>
      <c r="M44" s="6">
        <v>45552</v>
      </c>
      <c r="N44" s="7">
        <f t="shared" si="11"/>
        <v>3.1152647975077882E-2</v>
      </c>
      <c r="O44" s="8">
        <f t="shared" si="9"/>
        <v>240.75</v>
      </c>
      <c r="P44" s="53">
        <f t="shared" si="10"/>
        <v>0</v>
      </c>
      <c r="Q44">
        <f>SUM($I$17:I43)</f>
        <v>21064.930000000004</v>
      </c>
      <c r="R44">
        <f>SUM($J$17:J43)</f>
        <v>928.7000000000005</v>
      </c>
      <c r="S44" s="9">
        <f t="shared" si="12"/>
        <v>4.4087495187498861E-2</v>
      </c>
      <c r="U44">
        <f t="shared" si="13"/>
        <v>0</v>
      </c>
    </row>
    <row r="45" spans="1:21" ht="15" thickBot="1">
      <c r="A45" s="37">
        <v>45552</v>
      </c>
      <c r="B45" s="50" t="s">
        <v>77</v>
      </c>
      <c r="C45" s="1">
        <v>5</v>
      </c>
      <c r="D45" s="1" t="s">
        <v>48</v>
      </c>
      <c r="E45" s="1">
        <v>49.05</v>
      </c>
      <c r="H45" s="1">
        <v>50.55</v>
      </c>
      <c r="I45" s="1">
        <f t="shared" si="8"/>
        <v>245.25</v>
      </c>
      <c r="J45" s="1">
        <f t="shared" si="3"/>
        <v>7.5</v>
      </c>
      <c r="K45" s="27">
        <f t="shared" si="4"/>
        <v>3.0581039755351685E-2</v>
      </c>
      <c r="L45" s="10">
        <f t="shared" si="14"/>
        <v>1</v>
      </c>
      <c r="M45" s="6">
        <v>45559</v>
      </c>
      <c r="N45" s="7">
        <f t="shared" si="11"/>
        <v>3.0581039755351685E-2</v>
      </c>
      <c r="O45" s="8">
        <f t="shared" si="9"/>
        <v>245.25</v>
      </c>
      <c r="P45" s="53">
        <f t="shared" si="10"/>
        <v>0</v>
      </c>
      <c r="Q45">
        <f>SUM($I$17:I44)</f>
        <v>21305.680000000004</v>
      </c>
      <c r="R45">
        <f>SUM($J$17:J44)</f>
        <v>936.2000000000005</v>
      </c>
      <c r="S45" s="9">
        <f t="shared" si="12"/>
        <v>4.3941333954138066E-2</v>
      </c>
      <c r="T45" s="9">
        <v>98.9</v>
      </c>
      <c r="U45">
        <f t="shared" si="13"/>
        <v>1.7981818181818182E-2</v>
      </c>
    </row>
    <row r="46" spans="1:21" ht="15" thickBot="1">
      <c r="A46" s="37" t="s">
        <v>78</v>
      </c>
      <c r="B46" s="50" t="s">
        <v>41</v>
      </c>
      <c r="C46" s="1">
        <v>5</v>
      </c>
      <c r="D46" s="1" t="s">
        <v>48</v>
      </c>
      <c r="E46" s="1">
        <v>186.95</v>
      </c>
      <c r="H46" s="1">
        <v>189.5</v>
      </c>
      <c r="I46" s="1">
        <f t="shared" si="8"/>
        <v>934.75</v>
      </c>
      <c r="J46" s="1">
        <f t="shared" si="3"/>
        <v>12.750000000000057</v>
      </c>
      <c r="K46" s="27">
        <f t="shared" si="4"/>
        <v>1.3640010698047668E-2</v>
      </c>
      <c r="L46" s="10">
        <f t="shared" si="14"/>
        <v>1</v>
      </c>
      <c r="M46" s="6">
        <v>45576</v>
      </c>
      <c r="N46" s="7">
        <f t="shared" si="11"/>
        <v>1.3640010698047668E-2</v>
      </c>
      <c r="P46" s="53">
        <f t="shared" si="10"/>
        <v>0</v>
      </c>
      <c r="U46">
        <f t="shared" si="13"/>
        <v>0</v>
      </c>
    </row>
    <row r="47" spans="1:21" ht="15" thickBot="1">
      <c r="A47" s="37">
        <v>45565</v>
      </c>
      <c r="B47" s="50" t="s">
        <v>59</v>
      </c>
      <c r="C47" s="1">
        <v>5</v>
      </c>
      <c r="D47" s="1" t="s">
        <v>48</v>
      </c>
      <c r="E47" s="1">
        <v>174.88</v>
      </c>
      <c r="H47" s="1">
        <v>178.95</v>
      </c>
      <c r="I47" s="1">
        <f t="shared" si="8"/>
        <v>874.4</v>
      </c>
      <c r="J47" s="1">
        <f t="shared" si="3"/>
        <v>20.349999999999966</v>
      </c>
      <c r="K47" s="27">
        <f t="shared" si="4"/>
        <v>2.3273101555352203E-2</v>
      </c>
      <c r="L47" s="58">
        <f t="shared" si="14"/>
        <v>1</v>
      </c>
      <c r="M47" s="59">
        <v>45568</v>
      </c>
      <c r="N47" s="7">
        <f t="shared" si="11"/>
        <v>2.3273101555352203E-2</v>
      </c>
      <c r="P47" s="53">
        <f t="shared" si="10"/>
        <v>0</v>
      </c>
      <c r="U47">
        <f t="shared" si="13"/>
        <v>0</v>
      </c>
    </row>
    <row r="48" spans="1:21" ht="15" thickBot="1">
      <c r="A48" s="37">
        <v>44104</v>
      </c>
      <c r="B48" s="50" t="s">
        <v>70</v>
      </c>
      <c r="C48" s="1">
        <v>5</v>
      </c>
      <c r="D48" s="1" t="s">
        <v>48</v>
      </c>
      <c r="E48" s="1">
        <v>169.79</v>
      </c>
      <c r="H48" s="1">
        <v>175.95</v>
      </c>
      <c r="I48" s="1">
        <f t="shared" si="8"/>
        <v>848.94999999999993</v>
      </c>
      <c r="J48" s="1">
        <f t="shared" si="3"/>
        <v>30.799999999999983</v>
      </c>
      <c r="K48" s="27">
        <f t="shared" si="4"/>
        <v>3.6280110725013234E-2</v>
      </c>
      <c r="L48" s="10">
        <f t="shared" si="14"/>
        <v>1</v>
      </c>
      <c r="M48" s="6">
        <v>45583</v>
      </c>
      <c r="N48" s="7">
        <f t="shared" si="11"/>
        <v>3.6280110725013234E-2</v>
      </c>
      <c r="P48" s="53">
        <f t="shared" si="10"/>
        <v>0</v>
      </c>
      <c r="U48">
        <f t="shared" si="13"/>
        <v>0</v>
      </c>
    </row>
    <row r="49" spans="1:21" ht="15" thickBot="1">
      <c r="A49" s="37">
        <v>45565</v>
      </c>
      <c r="B49" s="50" t="s">
        <v>54</v>
      </c>
      <c r="C49" s="1">
        <v>5</v>
      </c>
      <c r="D49" s="1" t="s">
        <v>48</v>
      </c>
      <c r="E49" s="1">
        <v>116.25</v>
      </c>
      <c r="H49" s="1">
        <v>116.7</v>
      </c>
      <c r="I49" s="1">
        <f t="shared" si="8"/>
        <v>581.25</v>
      </c>
      <c r="J49" s="1">
        <f t="shared" si="3"/>
        <v>2.2500000000000142</v>
      </c>
      <c r="K49" s="27">
        <f t="shared" si="4"/>
        <v>3.8709677419355082E-3</v>
      </c>
      <c r="L49" s="10">
        <f t="shared" si="14"/>
        <v>1</v>
      </c>
      <c r="M49" s="6">
        <v>45568</v>
      </c>
      <c r="N49" s="7">
        <f t="shared" si="11"/>
        <v>3.8709677419355082E-3</v>
      </c>
      <c r="P49" s="53">
        <f t="shared" si="10"/>
        <v>0</v>
      </c>
      <c r="U49">
        <f t="shared" si="13"/>
        <v>0</v>
      </c>
    </row>
    <row r="50" spans="1:21" ht="15" thickBot="1">
      <c r="A50" s="37">
        <v>45566</v>
      </c>
      <c r="B50" s="1" t="s">
        <v>79</v>
      </c>
      <c r="C50" s="1">
        <v>10</v>
      </c>
      <c r="D50" s="1" t="s">
        <v>48</v>
      </c>
      <c r="E50" s="1">
        <v>37.08</v>
      </c>
      <c r="H50" s="1">
        <v>41.2</v>
      </c>
      <c r="I50" s="1">
        <f t="shared" si="8"/>
        <v>370.79999999999995</v>
      </c>
      <c r="J50" s="1">
        <f t="shared" si="3"/>
        <v>41.200000000000045</v>
      </c>
      <c r="K50" s="27">
        <f t="shared" si="4"/>
        <v>0.11111111111111124</v>
      </c>
      <c r="L50" s="10">
        <f t="shared" si="14"/>
        <v>1</v>
      </c>
      <c r="M50" s="6">
        <v>45600</v>
      </c>
      <c r="N50" s="7">
        <f t="shared" si="11"/>
        <v>0.11111111111111124</v>
      </c>
      <c r="P50" s="53">
        <f t="shared" si="10"/>
        <v>0</v>
      </c>
      <c r="U50">
        <f t="shared" si="13"/>
        <v>0</v>
      </c>
    </row>
    <row r="51" spans="1:21" ht="15" thickBot="1">
      <c r="A51" s="37">
        <v>45568</v>
      </c>
      <c r="B51" s="50" t="s">
        <v>47</v>
      </c>
      <c r="C51" s="1">
        <v>7</v>
      </c>
      <c r="D51" s="1" t="s">
        <v>48</v>
      </c>
      <c r="E51" s="1">
        <v>79.16</v>
      </c>
      <c r="H51" s="1">
        <v>92.8</v>
      </c>
      <c r="I51" s="1">
        <f t="shared" si="8"/>
        <v>554.12</v>
      </c>
      <c r="J51" s="1">
        <f t="shared" si="3"/>
        <v>95.48</v>
      </c>
      <c r="K51" s="27">
        <f t="shared" si="4"/>
        <v>0.17230924709449219</v>
      </c>
      <c r="L51" s="10">
        <f t="shared" si="14"/>
        <v>1</v>
      </c>
      <c r="M51" s="6">
        <v>45580</v>
      </c>
      <c r="N51" s="7">
        <f t="shared" si="11"/>
        <v>0.17230924709449219</v>
      </c>
      <c r="P51" s="53">
        <f t="shared" si="10"/>
        <v>0</v>
      </c>
      <c r="U51">
        <f t="shared" si="13"/>
        <v>0</v>
      </c>
    </row>
    <row r="52" spans="1:21" ht="15" thickBot="1">
      <c r="A52" s="37">
        <v>45569</v>
      </c>
      <c r="B52" s="50" t="s">
        <v>66</v>
      </c>
      <c r="C52" s="1">
        <v>5</v>
      </c>
      <c r="D52" s="1" t="s">
        <v>80</v>
      </c>
      <c r="E52" s="1">
        <v>72</v>
      </c>
      <c r="H52" s="1">
        <v>74</v>
      </c>
      <c r="I52" s="1">
        <f t="shared" si="8"/>
        <v>360</v>
      </c>
      <c r="J52" s="1">
        <f t="shared" si="3"/>
        <v>10</v>
      </c>
      <c r="K52" s="27">
        <f t="shared" si="4"/>
        <v>2.7777777777777776E-2</v>
      </c>
      <c r="L52" s="10">
        <f t="shared" si="14"/>
        <v>1</v>
      </c>
      <c r="M52" s="6">
        <v>45574</v>
      </c>
      <c r="N52" s="7">
        <f t="shared" si="11"/>
        <v>2.7777777777777776E-2</v>
      </c>
      <c r="P52" s="53">
        <f t="shared" si="10"/>
        <v>0</v>
      </c>
      <c r="U52">
        <f t="shared" si="13"/>
        <v>0</v>
      </c>
    </row>
    <row r="53" spans="1:21" ht="15" thickBot="1">
      <c r="A53" s="37">
        <v>45572</v>
      </c>
      <c r="B53" s="50" t="s">
        <v>73</v>
      </c>
      <c r="C53" s="1">
        <v>5</v>
      </c>
      <c r="D53" s="1" t="s">
        <v>48</v>
      </c>
      <c r="E53" s="1">
        <v>166.04</v>
      </c>
      <c r="H53" s="1">
        <v>171.95</v>
      </c>
      <c r="I53" s="1">
        <f t="shared" si="8"/>
        <v>830.19999999999993</v>
      </c>
      <c r="J53" s="1">
        <f t="shared" si="3"/>
        <v>29.549999999999983</v>
      </c>
      <c r="K53" s="27">
        <f t="shared" si="4"/>
        <v>3.5593832811370733E-2</v>
      </c>
      <c r="L53" s="10">
        <f t="shared" si="14"/>
        <v>1</v>
      </c>
      <c r="M53" s="6">
        <v>45579</v>
      </c>
      <c r="N53" s="7">
        <f t="shared" si="11"/>
        <v>3.5593832811370733E-2</v>
      </c>
      <c r="P53" s="53">
        <f t="shared" si="10"/>
        <v>0</v>
      </c>
      <c r="U53">
        <f t="shared" si="13"/>
        <v>0</v>
      </c>
    </row>
    <row r="54" spans="1:21" ht="15" thickBot="1">
      <c r="A54" s="37">
        <v>45574</v>
      </c>
      <c r="B54" s="50" t="s">
        <v>54</v>
      </c>
      <c r="C54" s="1">
        <v>4</v>
      </c>
      <c r="D54" s="1" t="s">
        <v>80</v>
      </c>
      <c r="E54" s="1">
        <v>127.35</v>
      </c>
      <c r="H54" s="1">
        <v>123.64</v>
      </c>
      <c r="I54" s="1">
        <f t="shared" si="8"/>
        <v>509.4</v>
      </c>
      <c r="J54" s="1">
        <f t="shared" si="3"/>
        <v>-14.839999999999975</v>
      </c>
      <c r="K54" s="27">
        <f t="shared" si="4"/>
        <v>-2.9132312524538625E-2</v>
      </c>
      <c r="L54" s="10">
        <f t="shared" si="14"/>
        <v>1</v>
      </c>
      <c r="M54" s="6">
        <v>45576</v>
      </c>
      <c r="N54" s="7">
        <f t="shared" si="11"/>
        <v>-2.9132312524538625E-2</v>
      </c>
      <c r="P54" s="53">
        <f t="shared" si="10"/>
        <v>0</v>
      </c>
      <c r="U54">
        <f t="shared" si="13"/>
        <v>0</v>
      </c>
    </row>
    <row r="55" spans="1:21" ht="15" thickBot="1">
      <c r="A55" s="37">
        <v>45575</v>
      </c>
      <c r="B55" s="50" t="s">
        <v>81</v>
      </c>
      <c r="C55" s="1">
        <v>5</v>
      </c>
      <c r="D55" s="1" t="s">
        <v>48</v>
      </c>
      <c r="E55" s="1">
        <v>101.4</v>
      </c>
      <c r="H55" s="1">
        <v>100</v>
      </c>
      <c r="I55" s="1">
        <f t="shared" si="8"/>
        <v>507</v>
      </c>
      <c r="J55" s="1">
        <f t="shared" si="3"/>
        <v>-7.0000000000000284</v>
      </c>
      <c r="K55" s="27">
        <f t="shared" si="4"/>
        <v>-1.3806706114398477E-2</v>
      </c>
      <c r="L55" s="10">
        <f t="shared" si="14"/>
        <v>1</v>
      </c>
      <c r="M55" s="6">
        <v>45579</v>
      </c>
      <c r="N55" s="7">
        <f t="shared" si="11"/>
        <v>-1.3806706114398477E-2</v>
      </c>
      <c r="P55" s="53">
        <f t="shared" si="10"/>
        <v>0</v>
      </c>
      <c r="U55">
        <f t="shared" si="13"/>
        <v>0</v>
      </c>
    </row>
    <row r="56" spans="1:21" ht="15" thickBot="1">
      <c r="A56" s="37">
        <v>45576</v>
      </c>
      <c r="B56" s="50" t="s">
        <v>52</v>
      </c>
      <c r="C56" s="1">
        <v>2</v>
      </c>
      <c r="D56" s="1" t="s">
        <v>48</v>
      </c>
      <c r="E56" s="1">
        <v>288.26</v>
      </c>
      <c r="H56" s="1">
        <v>290.95</v>
      </c>
      <c r="I56" s="1">
        <f t="shared" si="8"/>
        <v>576.52</v>
      </c>
      <c r="J56" s="1">
        <f t="shared" si="3"/>
        <v>5.3799999999999955</v>
      </c>
      <c r="K56" s="27">
        <f t="shared" si="4"/>
        <v>9.3318531880940744E-3</v>
      </c>
      <c r="L56" s="10">
        <f t="shared" si="14"/>
        <v>1</v>
      </c>
      <c r="M56" s="6">
        <v>45580</v>
      </c>
      <c r="N56" s="7">
        <f t="shared" si="11"/>
        <v>9.3318531880940744E-3</v>
      </c>
      <c r="P56" s="53">
        <f t="shared" si="10"/>
        <v>0</v>
      </c>
      <c r="U56">
        <f t="shared" si="13"/>
        <v>0</v>
      </c>
    </row>
    <row r="57" spans="1:21" ht="15" thickBot="1">
      <c r="A57" s="37">
        <v>45579</v>
      </c>
      <c r="B57" s="50" t="s">
        <v>82</v>
      </c>
      <c r="C57" s="1">
        <v>6</v>
      </c>
      <c r="D57" s="1" t="s">
        <v>48</v>
      </c>
      <c r="E57" s="1">
        <v>123.04</v>
      </c>
      <c r="H57" s="1">
        <v>117.9</v>
      </c>
      <c r="I57" s="1">
        <f t="shared" si="8"/>
        <v>738.24</v>
      </c>
      <c r="J57" s="1">
        <f t="shared" si="3"/>
        <v>-30.840000000000003</v>
      </c>
      <c r="K57" s="27">
        <f t="shared" si="4"/>
        <v>-4.1775032509752931E-2</v>
      </c>
      <c r="L57" s="10">
        <f t="shared" si="14"/>
        <v>1</v>
      </c>
      <c r="M57" s="6">
        <v>45582</v>
      </c>
      <c r="N57" s="7">
        <f t="shared" si="11"/>
        <v>-4.1775032509752931E-2</v>
      </c>
      <c r="P57" s="53">
        <f t="shared" si="10"/>
        <v>0</v>
      </c>
      <c r="U57">
        <f t="shared" si="13"/>
        <v>0</v>
      </c>
    </row>
    <row r="58" spans="1:21" ht="15" thickBot="1">
      <c r="A58" s="37">
        <v>45580</v>
      </c>
      <c r="B58" s="50" t="s">
        <v>83</v>
      </c>
      <c r="C58" s="1">
        <v>8</v>
      </c>
      <c r="D58" s="1" t="s">
        <v>48</v>
      </c>
      <c r="E58" s="1">
        <v>79.209999999999994</v>
      </c>
      <c r="H58" s="1">
        <v>80.5</v>
      </c>
      <c r="I58" s="1">
        <f t="shared" si="8"/>
        <v>633.67999999999995</v>
      </c>
      <c r="J58" s="1">
        <f t="shared" si="3"/>
        <v>10.32000000000005</v>
      </c>
      <c r="K58" s="27">
        <f t="shared" si="4"/>
        <v>1.6285822497159531E-2</v>
      </c>
      <c r="L58" s="10">
        <f t="shared" si="14"/>
        <v>1</v>
      </c>
      <c r="M58" s="6">
        <v>45590</v>
      </c>
      <c r="N58" s="7">
        <f t="shared" si="11"/>
        <v>1.6285822497159531E-2</v>
      </c>
      <c r="P58" s="53">
        <f t="shared" si="10"/>
        <v>0</v>
      </c>
      <c r="U58">
        <f t="shared" si="13"/>
        <v>0</v>
      </c>
    </row>
    <row r="59" spans="1:21" ht="15" thickBot="1">
      <c r="A59" s="37" t="s">
        <v>84</v>
      </c>
      <c r="B59" s="50" t="s">
        <v>43</v>
      </c>
      <c r="C59" s="1">
        <v>5</v>
      </c>
      <c r="D59" s="1" t="s">
        <v>48</v>
      </c>
      <c r="E59" s="1">
        <v>164.97</v>
      </c>
      <c r="H59" s="1">
        <v>168.75</v>
      </c>
      <c r="I59" s="1">
        <f t="shared" si="8"/>
        <v>824.85</v>
      </c>
      <c r="J59" s="1">
        <f t="shared" si="3"/>
        <v>18.900000000000006</v>
      </c>
      <c r="K59" s="27">
        <f t="shared" si="4"/>
        <v>2.2913256955810153E-2</v>
      </c>
      <c r="L59" s="10">
        <f t="shared" si="14"/>
        <v>1</v>
      </c>
      <c r="M59" s="6">
        <v>45593</v>
      </c>
      <c r="N59" s="7">
        <f t="shared" si="11"/>
        <v>2.2913256955810153E-2</v>
      </c>
      <c r="P59" s="53">
        <f t="shared" si="10"/>
        <v>0</v>
      </c>
      <c r="U59">
        <f t="shared" si="13"/>
        <v>0</v>
      </c>
    </row>
    <row r="60" spans="1:21" ht="15" thickBot="1">
      <c r="A60" s="37">
        <v>45586</v>
      </c>
      <c r="B60" s="50" t="s">
        <v>68</v>
      </c>
      <c r="C60" s="1">
        <v>20</v>
      </c>
      <c r="D60" s="1" t="s">
        <v>48</v>
      </c>
      <c r="E60" s="1">
        <v>25.1</v>
      </c>
      <c r="H60" s="1">
        <v>25.97</v>
      </c>
      <c r="I60" s="1">
        <f t="shared" si="8"/>
        <v>502</v>
      </c>
      <c r="J60" s="1">
        <f t="shared" si="3"/>
        <v>17.399999999999949</v>
      </c>
      <c r="K60" s="27">
        <f t="shared" si="4"/>
        <v>3.4661354581673201E-2</v>
      </c>
      <c r="L60" s="10">
        <f t="shared" si="14"/>
        <v>1</v>
      </c>
      <c r="M60" s="6">
        <v>45594</v>
      </c>
      <c r="N60" s="7">
        <f t="shared" si="11"/>
        <v>3.4661354581673201E-2</v>
      </c>
      <c r="P60" s="53">
        <f t="shared" si="10"/>
        <v>0</v>
      </c>
      <c r="U60">
        <f t="shared" si="13"/>
        <v>0</v>
      </c>
    </row>
    <row r="61" spans="1:21" ht="15" thickBot="1">
      <c r="A61" s="37">
        <v>45586</v>
      </c>
      <c r="B61" s="50" t="s">
        <v>73</v>
      </c>
      <c r="C61" s="1">
        <v>4</v>
      </c>
      <c r="D61" s="1" t="s">
        <v>48</v>
      </c>
      <c r="E61" s="1">
        <v>168.05</v>
      </c>
      <c r="H61" s="1">
        <v>171</v>
      </c>
      <c r="I61" s="1">
        <f t="shared" si="8"/>
        <v>672.2</v>
      </c>
      <c r="J61" s="1">
        <f t="shared" si="3"/>
        <v>11.799999999999955</v>
      </c>
      <c r="K61" s="27">
        <f t="shared" si="4"/>
        <v>1.7554299315679787E-2</v>
      </c>
      <c r="L61" s="10">
        <f t="shared" si="14"/>
        <v>1</v>
      </c>
      <c r="M61" s="6">
        <v>45588</v>
      </c>
      <c r="N61" s="7">
        <f t="shared" si="11"/>
        <v>1.7554299315679787E-2</v>
      </c>
      <c r="P61" s="53">
        <f t="shared" si="10"/>
        <v>0</v>
      </c>
      <c r="U61">
        <f t="shared" si="13"/>
        <v>0</v>
      </c>
    </row>
    <row r="62" spans="1:21" ht="15" thickBot="1">
      <c r="A62" s="37">
        <v>45586</v>
      </c>
      <c r="B62" s="50" t="s">
        <v>85</v>
      </c>
      <c r="C62" s="1">
        <v>8</v>
      </c>
      <c r="D62" s="1" t="s">
        <v>48</v>
      </c>
      <c r="E62" s="1">
        <v>42.65</v>
      </c>
      <c r="H62" s="1">
        <v>43.2</v>
      </c>
      <c r="I62" s="1">
        <f t="shared" si="8"/>
        <v>341.2</v>
      </c>
      <c r="J62" s="1">
        <f t="shared" si="3"/>
        <v>4.4000000000000341</v>
      </c>
      <c r="K62" s="27">
        <f t="shared" si="4"/>
        <v>1.2895662368112645E-2</v>
      </c>
      <c r="L62" s="10">
        <f t="shared" si="14"/>
        <v>1</v>
      </c>
      <c r="M62" s="6">
        <v>45595</v>
      </c>
      <c r="N62" s="7">
        <f t="shared" si="11"/>
        <v>1.2895662368112645E-2</v>
      </c>
      <c r="P62" s="53">
        <f t="shared" si="10"/>
        <v>0</v>
      </c>
      <c r="U62">
        <f t="shared" si="13"/>
        <v>0</v>
      </c>
    </row>
    <row r="63" spans="1:21" ht="15" thickBot="1">
      <c r="A63" s="37">
        <v>45588</v>
      </c>
      <c r="B63" s="50" t="s">
        <v>54</v>
      </c>
      <c r="C63" s="1">
        <v>3</v>
      </c>
      <c r="D63" s="1" t="s">
        <v>48</v>
      </c>
      <c r="E63" s="1">
        <v>118.75</v>
      </c>
      <c r="H63" s="1">
        <v>127.95</v>
      </c>
      <c r="I63" s="1">
        <f t="shared" si="8"/>
        <v>356.25</v>
      </c>
      <c r="J63" s="1">
        <f t="shared" si="3"/>
        <v>27.600000000000009</v>
      </c>
      <c r="K63" s="27">
        <f t="shared" si="4"/>
        <v>7.7473684210526333E-2</v>
      </c>
      <c r="L63" s="58">
        <f t="shared" si="14"/>
        <v>1</v>
      </c>
      <c r="M63" s="6">
        <v>45595</v>
      </c>
      <c r="N63" s="7">
        <f t="shared" si="11"/>
        <v>7.7473684210526333E-2</v>
      </c>
      <c r="P63" s="53">
        <f t="shared" si="10"/>
        <v>0</v>
      </c>
      <c r="U63">
        <f t="shared" si="13"/>
        <v>0</v>
      </c>
    </row>
    <row r="64" spans="1:21" ht="15" thickBot="1">
      <c r="A64" s="37" t="s">
        <v>86</v>
      </c>
      <c r="B64" s="50" t="s">
        <v>47</v>
      </c>
      <c r="C64" s="1">
        <v>7</v>
      </c>
      <c r="D64" s="1" t="s">
        <v>48</v>
      </c>
      <c r="E64" s="1">
        <v>87.41</v>
      </c>
      <c r="H64" s="1">
        <v>91.05</v>
      </c>
      <c r="I64" s="1">
        <f t="shared" si="8"/>
        <v>611.87</v>
      </c>
      <c r="J64" s="1">
        <f t="shared" si="3"/>
        <v>25.480000000000004</v>
      </c>
      <c r="K64" s="27">
        <f t="shared" si="4"/>
        <v>4.1642832627845794E-2</v>
      </c>
      <c r="L64" s="10">
        <f t="shared" si="14"/>
        <v>1</v>
      </c>
      <c r="M64" s="6">
        <v>45602</v>
      </c>
      <c r="N64" s="7">
        <f t="shared" si="11"/>
        <v>4.1642832627845794E-2</v>
      </c>
      <c r="P64" s="53">
        <f t="shared" si="10"/>
        <v>0</v>
      </c>
      <c r="U64">
        <f t="shared" si="13"/>
        <v>0</v>
      </c>
    </row>
    <row r="65" spans="1:21" ht="15" thickBot="1">
      <c r="A65" s="37">
        <v>45588</v>
      </c>
      <c r="B65" s="50" t="s">
        <v>59</v>
      </c>
      <c r="C65" s="1">
        <v>2</v>
      </c>
      <c r="D65" s="1" t="s">
        <v>48</v>
      </c>
      <c r="E65" s="1">
        <v>196.5</v>
      </c>
      <c r="H65" s="1">
        <v>198.34</v>
      </c>
      <c r="I65" s="1">
        <f t="shared" si="8"/>
        <v>393</v>
      </c>
      <c r="J65" s="1">
        <f t="shared" si="3"/>
        <v>3.6800000000000068</v>
      </c>
      <c r="K65" s="27">
        <f t="shared" si="4"/>
        <v>9.3638676844783886E-3</v>
      </c>
      <c r="L65" s="10">
        <f t="shared" si="14"/>
        <v>1</v>
      </c>
      <c r="M65" s="6">
        <v>45593</v>
      </c>
      <c r="N65" s="7">
        <f t="shared" si="11"/>
        <v>9.3638676844783886E-3</v>
      </c>
      <c r="P65" s="53">
        <f t="shared" si="10"/>
        <v>0</v>
      </c>
      <c r="T65" s="9">
        <v>276</v>
      </c>
      <c r="U65">
        <f t="shared" si="13"/>
        <v>5.0181818181818182E-2</v>
      </c>
    </row>
    <row r="66" spans="1:21" ht="15" thickBot="1">
      <c r="A66" s="37">
        <v>45593</v>
      </c>
      <c r="B66" s="50" t="s">
        <v>36</v>
      </c>
      <c r="C66" s="1">
        <v>1</v>
      </c>
      <c r="D66" s="1" t="s">
        <v>48</v>
      </c>
      <c r="E66" s="1">
        <v>206.15</v>
      </c>
      <c r="H66" s="1">
        <v>235.5</v>
      </c>
      <c r="I66" s="1">
        <f t="shared" si="8"/>
        <v>206.15</v>
      </c>
      <c r="J66" s="1">
        <f t="shared" si="3"/>
        <v>29.349999999999994</v>
      </c>
      <c r="K66" s="27">
        <f t="shared" si="4"/>
        <v>0.14237205918020857</v>
      </c>
      <c r="L66" s="10">
        <f t="shared" si="14"/>
        <v>1</v>
      </c>
      <c r="M66" s="6">
        <v>45609</v>
      </c>
      <c r="N66" s="7">
        <f t="shared" si="11"/>
        <v>0.14237205918020857</v>
      </c>
      <c r="P66" s="53">
        <f t="shared" si="10"/>
        <v>0</v>
      </c>
      <c r="Q66" s="1"/>
      <c r="R66" s="1"/>
      <c r="S66" s="1"/>
      <c r="U66">
        <f t="shared" si="13"/>
        <v>0</v>
      </c>
    </row>
    <row r="67" spans="1:21" ht="15" thickBot="1">
      <c r="A67" s="37">
        <v>45596</v>
      </c>
      <c r="B67" s="50" t="s">
        <v>60</v>
      </c>
      <c r="C67" s="1">
        <v>5</v>
      </c>
      <c r="D67" s="1" t="s">
        <v>48</v>
      </c>
      <c r="E67" s="1">
        <v>134.31</v>
      </c>
      <c r="H67" s="1">
        <v>137</v>
      </c>
      <c r="I67" s="1">
        <f t="shared" si="8"/>
        <v>671.55</v>
      </c>
      <c r="J67" s="1">
        <f t="shared" si="3"/>
        <v>13.449999999999989</v>
      </c>
      <c r="K67" s="27">
        <f t="shared" si="4"/>
        <v>2.0028292755565464E-2</v>
      </c>
      <c r="L67" s="10">
        <f t="shared" si="14"/>
        <v>1</v>
      </c>
      <c r="M67" s="6">
        <v>45597</v>
      </c>
      <c r="N67" s="7">
        <f t="shared" si="11"/>
        <v>2.0028292755565464E-2</v>
      </c>
      <c r="P67" s="53">
        <f t="shared" si="10"/>
        <v>0</v>
      </c>
      <c r="U67">
        <f t="shared" si="13"/>
        <v>0</v>
      </c>
    </row>
    <row r="68" spans="1:21" ht="15" thickBot="1">
      <c r="A68" s="37">
        <v>45596</v>
      </c>
      <c r="B68" s="50" t="s">
        <v>79</v>
      </c>
      <c r="C68" s="1">
        <v>10</v>
      </c>
      <c r="D68" s="1" t="s">
        <v>48</v>
      </c>
      <c r="E68" s="1">
        <v>42.05</v>
      </c>
      <c r="H68" s="1">
        <v>42.5</v>
      </c>
      <c r="I68" s="1">
        <f t="shared" si="8"/>
        <v>420.5</v>
      </c>
      <c r="J68" s="1">
        <f t="shared" si="3"/>
        <v>4.5000000000000284</v>
      </c>
      <c r="K68" s="27">
        <f t="shared" si="4"/>
        <v>1.0701545778834788E-2</v>
      </c>
      <c r="L68" s="10">
        <f t="shared" si="14"/>
        <v>1</v>
      </c>
      <c r="M68" s="6">
        <v>45597</v>
      </c>
      <c r="N68" s="7">
        <f t="shared" si="11"/>
        <v>1.0701545778834788E-2</v>
      </c>
      <c r="P68" s="53">
        <f t="shared" si="10"/>
        <v>0</v>
      </c>
      <c r="U68">
        <f t="shared" si="13"/>
        <v>0</v>
      </c>
    </row>
    <row r="69" spans="1:21" ht="15" thickBot="1">
      <c r="A69" s="60" t="s">
        <v>87</v>
      </c>
      <c r="B69" s="50" t="s">
        <v>88</v>
      </c>
      <c r="C69" s="1">
        <v>1</v>
      </c>
      <c r="D69" s="1" t="s">
        <v>48</v>
      </c>
      <c r="E69" s="1">
        <v>221</v>
      </c>
      <c r="H69" s="1">
        <v>238.95</v>
      </c>
      <c r="I69" s="1">
        <f t="shared" si="8"/>
        <v>221</v>
      </c>
      <c r="J69" s="1">
        <f t="shared" si="3"/>
        <v>17.949999999999989</v>
      </c>
      <c r="K69" s="27">
        <f t="shared" si="4"/>
        <v>8.1221719457013522E-2</v>
      </c>
      <c r="L69" s="10">
        <f t="shared" si="14"/>
        <v>1</v>
      </c>
      <c r="M69" s="6">
        <v>45604</v>
      </c>
      <c r="N69" s="7">
        <f t="shared" si="11"/>
        <v>8.1221719457013522E-2</v>
      </c>
      <c r="P69" s="53">
        <f t="shared" si="10"/>
        <v>0</v>
      </c>
    </row>
    <row r="70" spans="1:21" ht="15" thickBot="1">
      <c r="A70" s="37">
        <v>45604</v>
      </c>
      <c r="B70" s="50" t="s">
        <v>89</v>
      </c>
      <c r="C70" s="1">
        <v>5</v>
      </c>
      <c r="D70" s="1" t="s">
        <v>48</v>
      </c>
      <c r="E70" s="1">
        <v>40.6</v>
      </c>
      <c r="H70" s="1">
        <v>42.5</v>
      </c>
      <c r="I70" s="1">
        <f t="shared" si="8"/>
        <v>203</v>
      </c>
      <c r="J70" s="1">
        <f t="shared" si="3"/>
        <v>9.4999999999999929</v>
      </c>
      <c r="K70" s="27">
        <f t="shared" si="4"/>
        <v>4.679802955665021E-2</v>
      </c>
      <c r="L70" s="10">
        <f t="shared" si="14"/>
        <v>1</v>
      </c>
      <c r="M70" s="6">
        <v>45614</v>
      </c>
      <c r="N70" s="7">
        <f t="shared" si="11"/>
        <v>4.679802955665021E-2</v>
      </c>
      <c r="P70" s="53">
        <f t="shared" si="10"/>
        <v>0</v>
      </c>
    </row>
    <row r="71" spans="1:21" ht="15" thickBot="1">
      <c r="A71" s="37">
        <v>45604</v>
      </c>
      <c r="B71" s="50" t="s">
        <v>90</v>
      </c>
      <c r="C71" s="1">
        <v>7</v>
      </c>
      <c r="D71" s="1" t="s">
        <v>91</v>
      </c>
      <c r="E71" s="1">
        <v>87.64</v>
      </c>
      <c r="H71" s="1">
        <v>83.23</v>
      </c>
      <c r="I71" s="1">
        <f t="shared" si="8"/>
        <v>613.48</v>
      </c>
      <c r="J71" s="1">
        <f t="shared" si="3"/>
        <v>-30.869999999999976</v>
      </c>
      <c r="K71" s="27">
        <f t="shared" si="4"/>
        <v>-5.0319488817891334E-2</v>
      </c>
      <c r="L71" s="10">
        <f t="shared" si="14"/>
        <v>1</v>
      </c>
      <c r="M71" s="6">
        <v>45610</v>
      </c>
      <c r="N71" s="7">
        <f t="shared" si="11"/>
        <v>-5.0319488817891334E-2</v>
      </c>
      <c r="P71" s="53">
        <f t="shared" si="10"/>
        <v>0</v>
      </c>
    </row>
    <row r="72" spans="1:21" ht="15" thickBot="1">
      <c r="A72" s="37">
        <v>45607</v>
      </c>
      <c r="B72" s="50" t="s">
        <v>92</v>
      </c>
      <c r="C72" s="1">
        <v>2</v>
      </c>
      <c r="D72" s="1" t="s">
        <v>91</v>
      </c>
      <c r="E72" s="1">
        <v>167.05</v>
      </c>
      <c r="H72" s="1">
        <v>162.03</v>
      </c>
      <c r="I72" s="1">
        <f t="shared" si="8"/>
        <v>334.1</v>
      </c>
      <c r="J72" s="1">
        <f t="shared" si="3"/>
        <v>-10.04000000000002</v>
      </c>
      <c r="K72" s="27">
        <f t="shared" si="4"/>
        <v>-3.0050882969170967E-2</v>
      </c>
      <c r="L72" s="10">
        <f t="shared" si="14"/>
        <v>1</v>
      </c>
      <c r="M72" s="6">
        <v>45608</v>
      </c>
      <c r="N72" s="7">
        <f t="shared" si="11"/>
        <v>-3.0050882969170967E-2</v>
      </c>
      <c r="P72" s="53">
        <f>IF(MONTH(M72)=1, J72, 0)</f>
        <v>0</v>
      </c>
    </row>
    <row r="73" spans="1:21" ht="15" thickBot="1">
      <c r="A73" s="37">
        <v>45611</v>
      </c>
      <c r="B73" s="50" t="s">
        <v>93</v>
      </c>
      <c r="C73" s="50">
        <v>10</v>
      </c>
      <c r="D73" s="50" t="s">
        <v>91</v>
      </c>
      <c r="E73" s="50">
        <v>25.7</v>
      </c>
      <c r="F73" s="61"/>
      <c r="G73" s="61"/>
      <c r="H73" s="50">
        <v>32</v>
      </c>
      <c r="I73" s="50">
        <f t="shared" si="8"/>
        <v>257</v>
      </c>
      <c r="J73" s="50">
        <f t="shared" si="3"/>
        <v>63.000000000000007</v>
      </c>
      <c r="K73" s="62">
        <f t="shared" si="4"/>
        <v>0.24513618677042806</v>
      </c>
      <c r="L73" s="10">
        <f t="shared" si="14"/>
        <v>1</v>
      </c>
      <c r="M73" s="6">
        <v>45671</v>
      </c>
      <c r="N73" s="7">
        <f t="shared" si="11"/>
        <v>0.24513618677042806</v>
      </c>
      <c r="P73" s="53">
        <f>IF(MONTH(M73)=2, J73, 0)</f>
        <v>0</v>
      </c>
    </row>
    <row r="74" spans="1:21" ht="15" thickBot="1">
      <c r="A74" s="37" t="s">
        <v>94</v>
      </c>
      <c r="B74" s="50" t="s">
        <v>95</v>
      </c>
      <c r="C74" s="1">
        <v>3</v>
      </c>
      <c r="D74" s="1" t="s">
        <v>91</v>
      </c>
      <c r="E74" s="1">
        <v>201.33</v>
      </c>
      <c r="F74" s="4">
        <v>201.33</v>
      </c>
      <c r="H74" s="1">
        <v>205.95</v>
      </c>
      <c r="I74" s="1">
        <f t="shared" si="8"/>
        <v>603.99</v>
      </c>
      <c r="J74" s="1">
        <f t="shared" si="3"/>
        <v>13.859999999999928</v>
      </c>
      <c r="K74" s="27">
        <f t="shared" si="4"/>
        <v>2.2947399791387154E-2</v>
      </c>
      <c r="L74" s="10">
        <f t="shared" si="14"/>
        <v>1</v>
      </c>
      <c r="M74" s="6">
        <v>45622</v>
      </c>
      <c r="N74" s="7">
        <f t="shared" si="11"/>
        <v>2.2947399791387154E-2</v>
      </c>
      <c r="P74" s="53">
        <f t="shared" ref="P74:P101" si="15">IF(MONTH(M74)=2, J74, 0)</f>
        <v>0</v>
      </c>
    </row>
    <row r="75" spans="1:21" ht="15" thickBot="1">
      <c r="A75" s="37">
        <v>45611</v>
      </c>
      <c r="B75" s="50" t="s">
        <v>96</v>
      </c>
      <c r="C75" s="1">
        <v>4</v>
      </c>
      <c r="D75" s="1" t="s">
        <v>91</v>
      </c>
      <c r="E75" s="1">
        <v>56.5</v>
      </c>
      <c r="H75" s="1">
        <v>58.15</v>
      </c>
      <c r="I75" s="1">
        <f t="shared" si="8"/>
        <v>226</v>
      </c>
      <c r="J75" s="1">
        <f t="shared" si="3"/>
        <v>6.5999999999999943</v>
      </c>
      <c r="K75" s="27">
        <f t="shared" si="4"/>
        <v>2.9203539823008825E-2</v>
      </c>
      <c r="L75" s="10">
        <f t="shared" si="14"/>
        <v>1</v>
      </c>
      <c r="M75" s="6">
        <v>45617</v>
      </c>
      <c r="N75" s="7">
        <f t="shared" si="11"/>
        <v>2.9203539823008825E-2</v>
      </c>
      <c r="P75" s="53">
        <f t="shared" si="15"/>
        <v>0</v>
      </c>
    </row>
    <row r="76" spans="1:21" ht="15" thickBot="1">
      <c r="A76" s="37">
        <v>45611</v>
      </c>
      <c r="B76" s="50" t="s">
        <v>97</v>
      </c>
      <c r="C76" s="1">
        <v>2</v>
      </c>
      <c r="D76" s="1" t="s">
        <v>91</v>
      </c>
      <c r="E76" s="1">
        <v>205.5</v>
      </c>
      <c r="H76" s="1">
        <v>216.5</v>
      </c>
      <c r="I76" s="1">
        <f t="shared" si="8"/>
        <v>411</v>
      </c>
      <c r="J76" s="1">
        <f t="shared" si="3"/>
        <v>22</v>
      </c>
      <c r="K76" s="27">
        <f t="shared" si="4"/>
        <v>5.3527980535279802E-2</v>
      </c>
      <c r="L76" s="10">
        <f t="shared" si="14"/>
        <v>1</v>
      </c>
      <c r="M76" s="6">
        <v>45617</v>
      </c>
      <c r="N76" s="7">
        <f t="shared" si="11"/>
        <v>5.3527980535279802E-2</v>
      </c>
      <c r="P76" s="53">
        <f t="shared" si="15"/>
        <v>0</v>
      </c>
    </row>
    <row r="77" spans="1:21" ht="15" thickBot="1">
      <c r="A77" s="37">
        <v>45611</v>
      </c>
      <c r="B77" s="50" t="s">
        <v>98</v>
      </c>
      <c r="C77" s="1">
        <v>2</v>
      </c>
      <c r="D77" s="1" t="s">
        <v>91</v>
      </c>
      <c r="E77" s="1">
        <v>183.5</v>
      </c>
      <c r="H77" s="1">
        <v>189.95</v>
      </c>
      <c r="I77" s="1">
        <f t="shared" si="8"/>
        <v>367</v>
      </c>
      <c r="J77" s="1">
        <f t="shared" si="3"/>
        <v>12.899999999999977</v>
      </c>
      <c r="K77" s="27">
        <f t="shared" si="4"/>
        <v>3.514986376021792E-2</v>
      </c>
      <c r="L77" s="10">
        <f t="shared" si="14"/>
        <v>1</v>
      </c>
      <c r="M77" s="6">
        <v>45616</v>
      </c>
      <c r="N77" s="7">
        <f t="shared" si="11"/>
        <v>3.514986376021792E-2</v>
      </c>
      <c r="P77" s="53">
        <f t="shared" si="15"/>
        <v>0</v>
      </c>
    </row>
    <row r="78" spans="1:21" ht="15" thickBot="1">
      <c r="A78" s="37">
        <v>45618</v>
      </c>
      <c r="B78" s="50" t="s">
        <v>99</v>
      </c>
      <c r="C78" s="1">
        <v>3</v>
      </c>
      <c r="D78" s="1" t="s">
        <v>91</v>
      </c>
      <c r="E78" s="1">
        <v>141.78</v>
      </c>
      <c r="H78" s="1">
        <v>137.5</v>
      </c>
      <c r="I78" s="1">
        <f t="shared" si="8"/>
        <v>425.34000000000003</v>
      </c>
      <c r="J78" s="1">
        <f t="shared" si="3"/>
        <v>-12.840000000000003</v>
      </c>
      <c r="K78" s="27">
        <f t="shared" si="4"/>
        <v>-3.0187614614191009E-2</v>
      </c>
      <c r="L78" s="10">
        <f t="shared" si="14"/>
        <v>1</v>
      </c>
      <c r="M78" s="6">
        <v>45621</v>
      </c>
      <c r="N78" s="7">
        <f t="shared" si="11"/>
        <v>-3.0187614614191009E-2</v>
      </c>
      <c r="P78" s="53">
        <f t="shared" si="15"/>
        <v>0</v>
      </c>
    </row>
    <row r="79" spans="1:21" ht="15" thickBot="1">
      <c r="A79" s="37">
        <v>45622</v>
      </c>
      <c r="B79" s="50" t="s">
        <v>100</v>
      </c>
      <c r="C79" s="1">
        <v>2</v>
      </c>
      <c r="D79" s="1" t="s">
        <v>91</v>
      </c>
      <c r="E79" s="1">
        <v>171.5</v>
      </c>
      <c r="H79" s="1">
        <v>177</v>
      </c>
      <c r="I79" s="1">
        <f t="shared" si="8"/>
        <v>343</v>
      </c>
      <c r="J79" s="1">
        <f t="shared" ref="J79:J143" si="16">(H79-E79)*C79</f>
        <v>11</v>
      </c>
      <c r="K79" s="2">
        <f t="shared" ref="K79:K143" si="17">(H79-E79)/E79</f>
        <v>3.2069970845481049E-2</v>
      </c>
      <c r="L79" s="10">
        <f t="shared" si="14"/>
        <v>1</v>
      </c>
      <c r="M79" s="6">
        <v>45625</v>
      </c>
      <c r="N79" s="7">
        <f t="shared" si="11"/>
        <v>3.2069970845481049E-2</v>
      </c>
      <c r="P79" s="53">
        <f t="shared" si="15"/>
        <v>0</v>
      </c>
      <c r="T79" s="9">
        <v>154</v>
      </c>
      <c r="U79" s="63">
        <f>154/5500</f>
        <v>2.8000000000000001E-2</v>
      </c>
    </row>
    <row r="80" spans="1:21" ht="15" thickBot="1">
      <c r="A80" s="37" t="s">
        <v>101</v>
      </c>
      <c r="B80" s="50" t="s">
        <v>100</v>
      </c>
      <c r="C80" s="50">
        <v>5</v>
      </c>
      <c r="D80" s="50" t="s">
        <v>91</v>
      </c>
      <c r="E80" s="50">
        <v>166.33</v>
      </c>
      <c r="F80" s="61"/>
      <c r="G80" s="61"/>
      <c r="H80" s="50">
        <v>175.04</v>
      </c>
      <c r="I80" s="50">
        <f t="shared" si="8"/>
        <v>831.65000000000009</v>
      </c>
      <c r="J80" s="50">
        <f t="shared" si="16"/>
        <v>43.549999999999898</v>
      </c>
      <c r="K80" s="62">
        <f t="shared" si="17"/>
        <v>5.2365778873323984E-2</v>
      </c>
      <c r="L80" s="10">
        <f t="shared" si="14"/>
        <v>1</v>
      </c>
      <c r="M80" s="6">
        <v>45663</v>
      </c>
      <c r="N80" s="7">
        <f t="shared" si="11"/>
        <v>5.2365778873323984E-2</v>
      </c>
      <c r="P80" s="53">
        <f t="shared" si="15"/>
        <v>0</v>
      </c>
    </row>
    <row r="81" spans="1:24" ht="15" thickBot="1">
      <c r="A81" s="37" t="s">
        <v>101</v>
      </c>
      <c r="B81" s="50" t="s">
        <v>102</v>
      </c>
      <c r="C81" s="50">
        <v>8</v>
      </c>
      <c r="D81" s="50" t="s">
        <v>91</v>
      </c>
      <c r="E81" s="50">
        <v>117.19</v>
      </c>
      <c r="F81" s="61"/>
      <c r="G81" s="61"/>
      <c r="H81" s="50">
        <v>121.88</v>
      </c>
      <c r="I81" s="50">
        <f t="shared" si="8"/>
        <v>937.52</v>
      </c>
      <c r="J81" s="50">
        <f t="shared" si="16"/>
        <v>37.519999999999982</v>
      </c>
      <c r="K81" s="62">
        <f t="shared" si="17"/>
        <v>4.0020479563102639E-2</v>
      </c>
      <c r="L81" s="10">
        <f t="shared" si="14"/>
        <v>1</v>
      </c>
      <c r="M81" s="6">
        <v>45663</v>
      </c>
      <c r="N81" s="7">
        <f t="shared" si="11"/>
        <v>4.0020479563102639E-2</v>
      </c>
      <c r="P81" s="53">
        <f t="shared" si="15"/>
        <v>0</v>
      </c>
    </row>
    <row r="82" spans="1:24" ht="15" thickBot="1">
      <c r="A82" s="37" t="s">
        <v>103</v>
      </c>
      <c r="B82" s="50" t="s">
        <v>104</v>
      </c>
      <c r="C82" s="50">
        <v>5</v>
      </c>
      <c r="D82" s="50" t="s">
        <v>91</v>
      </c>
      <c r="E82" s="50">
        <v>232.51</v>
      </c>
      <c r="F82" s="61">
        <f t="shared" ref="F82:F135" si="18">(E82*$C$1)+E82</f>
        <v>244.13549999999998</v>
      </c>
      <c r="G82" s="61">
        <f t="shared" ref="G82:G135" si="19">E82-(E82*$C$2)</f>
        <v>220.8845</v>
      </c>
      <c r="H82" s="50">
        <v>238.55</v>
      </c>
      <c r="I82" s="50">
        <f t="shared" ref="I82:I172" si="20">C82*E82</f>
        <v>1162.55</v>
      </c>
      <c r="J82" s="50">
        <f t="shared" si="16"/>
        <v>30.200000000000102</v>
      </c>
      <c r="K82" s="62">
        <f t="shared" si="17"/>
        <v>2.5977377317104731E-2</v>
      </c>
      <c r="L82" s="10">
        <f t="shared" si="14"/>
        <v>1</v>
      </c>
      <c r="M82" s="6">
        <v>45680</v>
      </c>
      <c r="N82" s="7">
        <f t="shared" si="11"/>
        <v>2.5977377317104731E-2</v>
      </c>
      <c r="P82" s="53">
        <f t="shared" si="15"/>
        <v>0</v>
      </c>
    </row>
    <row r="83" spans="1:24" ht="15" thickBot="1">
      <c r="A83" s="37">
        <v>45656</v>
      </c>
      <c r="B83" s="50" t="s">
        <v>105</v>
      </c>
      <c r="C83" s="50">
        <v>4</v>
      </c>
      <c r="D83" s="50" t="s">
        <v>91</v>
      </c>
      <c r="E83" s="50">
        <v>239.8</v>
      </c>
      <c r="F83" s="61">
        <f t="shared" si="18"/>
        <v>251.79000000000002</v>
      </c>
      <c r="G83" s="61">
        <f t="shared" si="19"/>
        <v>227.81</v>
      </c>
      <c r="H83" s="50">
        <v>267.7</v>
      </c>
      <c r="I83" s="50">
        <f t="shared" si="20"/>
        <v>959.2</v>
      </c>
      <c r="J83" s="50">
        <f t="shared" si="16"/>
        <v>111.59999999999991</v>
      </c>
      <c r="K83" s="62">
        <f t="shared" si="17"/>
        <v>0.11634695579649698</v>
      </c>
      <c r="L83" s="10">
        <f t="shared" si="14"/>
        <v>1</v>
      </c>
      <c r="M83" s="6">
        <v>45687</v>
      </c>
      <c r="N83" s="7">
        <f t="shared" si="11"/>
        <v>0.11634695579649698</v>
      </c>
      <c r="P83" s="53">
        <f t="shared" si="15"/>
        <v>0</v>
      </c>
    </row>
    <row r="84" spans="1:24" ht="15" thickBot="1">
      <c r="A84" s="37">
        <v>45656</v>
      </c>
      <c r="B84" s="50" t="s">
        <v>106</v>
      </c>
      <c r="C84" s="50">
        <v>3</v>
      </c>
      <c r="D84" s="50" t="s">
        <v>91</v>
      </c>
      <c r="E84" s="50">
        <v>105.35</v>
      </c>
      <c r="F84" s="61">
        <f t="shared" si="18"/>
        <v>110.61749999999999</v>
      </c>
      <c r="G84" s="61">
        <f t="shared" si="19"/>
        <v>100.0825</v>
      </c>
      <c r="H84" s="50">
        <v>106.5</v>
      </c>
      <c r="I84" s="50">
        <f t="shared" si="20"/>
        <v>316.04999999999995</v>
      </c>
      <c r="J84" s="50">
        <f t="shared" si="16"/>
        <v>3.4500000000000171</v>
      </c>
      <c r="K84" s="62">
        <f t="shared" si="17"/>
        <v>1.0915994304698678E-2</v>
      </c>
      <c r="L84" s="10">
        <f t="shared" si="14"/>
        <v>1</v>
      </c>
      <c r="M84" s="6">
        <v>45665</v>
      </c>
      <c r="N84" s="7">
        <f t="shared" ref="N84:N132" si="21">IF(M84&lt;&gt;"",K84,0)</f>
        <v>1.0915994304698678E-2</v>
      </c>
      <c r="P84" s="53">
        <f t="shared" si="15"/>
        <v>0</v>
      </c>
    </row>
    <row r="85" spans="1:24" ht="15" thickBot="1">
      <c r="A85" s="37">
        <v>44561</v>
      </c>
      <c r="B85" s="50" t="s">
        <v>99</v>
      </c>
      <c r="C85" s="50">
        <v>5</v>
      </c>
      <c r="D85" s="50" t="s">
        <v>91</v>
      </c>
      <c r="E85" s="50">
        <v>133.97999999999999</v>
      </c>
      <c r="F85" s="61">
        <f t="shared" si="18"/>
        <v>140.679</v>
      </c>
      <c r="G85" s="61">
        <f t="shared" si="19"/>
        <v>127.28099999999999</v>
      </c>
      <c r="H85" s="50">
        <v>132</v>
      </c>
      <c r="I85" s="50">
        <f t="shared" si="20"/>
        <v>669.9</v>
      </c>
      <c r="J85" s="50">
        <f t="shared" si="16"/>
        <v>-9.8999999999999488</v>
      </c>
      <c r="K85" s="62">
        <f t="shared" si="17"/>
        <v>-1.4778325123152634E-2</v>
      </c>
      <c r="L85" s="10">
        <f t="shared" si="14"/>
        <v>1</v>
      </c>
      <c r="M85" s="6">
        <v>45684</v>
      </c>
      <c r="N85" s="7">
        <f t="shared" si="21"/>
        <v>-1.4778325123152634E-2</v>
      </c>
      <c r="P85" s="53">
        <f t="shared" si="15"/>
        <v>0</v>
      </c>
      <c r="X85" s="64" t="s">
        <v>107</v>
      </c>
    </row>
    <row r="86" spans="1:24" ht="15" thickBot="1">
      <c r="A86" s="65">
        <v>45663</v>
      </c>
      <c r="B86" s="66" t="s">
        <v>108</v>
      </c>
      <c r="C86" s="66">
        <v>13</v>
      </c>
      <c r="D86" s="66" t="s">
        <v>91</v>
      </c>
      <c r="E86" s="66">
        <v>57.9</v>
      </c>
      <c r="F86" s="61">
        <f t="shared" si="18"/>
        <v>60.795000000000002</v>
      </c>
      <c r="G86" s="61">
        <f t="shared" si="19"/>
        <v>55.004999999999995</v>
      </c>
      <c r="H86" s="66">
        <v>58.05</v>
      </c>
      <c r="I86" s="66">
        <f t="shared" si="20"/>
        <v>752.69999999999993</v>
      </c>
      <c r="J86" s="66">
        <f t="shared" si="16"/>
        <v>1.9499999999999815</v>
      </c>
      <c r="K86" s="67">
        <f t="shared" si="17"/>
        <v>2.5906735751295091E-3</v>
      </c>
      <c r="L86" s="10">
        <f t="shared" si="14"/>
        <v>1</v>
      </c>
      <c r="M86" s="6">
        <v>45686</v>
      </c>
      <c r="N86" s="7">
        <f t="shared" si="21"/>
        <v>2.5906735751295091E-3</v>
      </c>
      <c r="P86" s="53">
        <f t="shared" si="15"/>
        <v>0</v>
      </c>
      <c r="V86">
        <v>59.62</v>
      </c>
      <c r="W86">
        <f>(V86-53.02)*50</f>
        <v>329.99999999999972</v>
      </c>
      <c r="X86">
        <f>V86*50</f>
        <v>2981</v>
      </c>
    </row>
    <row r="87" spans="1:24" ht="15" thickBot="1">
      <c r="A87" s="37">
        <v>45664</v>
      </c>
      <c r="B87" s="50" t="s">
        <v>98</v>
      </c>
      <c r="C87" s="50">
        <v>5</v>
      </c>
      <c r="D87" s="50" t="s">
        <v>91</v>
      </c>
      <c r="E87" s="50">
        <v>160.02000000000001</v>
      </c>
      <c r="F87" s="61">
        <f t="shared" si="18"/>
        <v>168.02100000000002</v>
      </c>
      <c r="G87" s="61">
        <f t="shared" si="19"/>
        <v>152.01900000000001</v>
      </c>
      <c r="H87" s="50">
        <v>169</v>
      </c>
      <c r="I87" s="50">
        <f t="shared" si="20"/>
        <v>800.1</v>
      </c>
      <c r="J87" s="50">
        <f t="shared" si="16"/>
        <v>44.899999999999949</v>
      </c>
      <c r="K87" s="62">
        <f t="shared" si="17"/>
        <v>5.6117985251843451E-2</v>
      </c>
      <c r="L87" s="10">
        <f t="shared" si="14"/>
        <v>1</v>
      </c>
      <c r="M87" s="6">
        <v>45684</v>
      </c>
      <c r="N87" s="7">
        <f t="shared" si="21"/>
        <v>5.6117985251843451E-2</v>
      </c>
      <c r="P87" s="53">
        <f t="shared" si="15"/>
        <v>0</v>
      </c>
    </row>
    <row r="88" spans="1:24" ht="15" thickBot="1">
      <c r="A88" s="37">
        <v>45664</v>
      </c>
      <c r="B88" s="50" t="s">
        <v>109</v>
      </c>
      <c r="C88" s="50">
        <v>7</v>
      </c>
      <c r="D88" s="50" t="s">
        <v>91</v>
      </c>
      <c r="E88" s="50">
        <v>122.46</v>
      </c>
      <c r="F88" s="61">
        <f t="shared" si="18"/>
        <v>128.583</v>
      </c>
      <c r="G88" s="61">
        <f t="shared" si="19"/>
        <v>116.33699999999999</v>
      </c>
      <c r="H88" s="50">
        <v>118.95</v>
      </c>
      <c r="I88" s="50">
        <f t="shared" si="20"/>
        <v>857.21999999999991</v>
      </c>
      <c r="J88" s="50">
        <f t="shared" si="16"/>
        <v>-24.569999999999936</v>
      </c>
      <c r="K88" s="62">
        <f t="shared" si="17"/>
        <v>-2.8662420382165533E-2</v>
      </c>
      <c r="L88" s="10">
        <f t="shared" si="14"/>
        <v>1</v>
      </c>
      <c r="M88" s="6">
        <v>45673</v>
      </c>
      <c r="N88" s="7">
        <f t="shared" si="21"/>
        <v>-2.8662420382165533E-2</v>
      </c>
      <c r="P88" s="53">
        <f t="shared" si="15"/>
        <v>0</v>
      </c>
    </row>
    <row r="89" spans="1:24" ht="15" thickBot="1">
      <c r="A89" s="37">
        <v>45665</v>
      </c>
      <c r="B89" s="50" t="s">
        <v>110</v>
      </c>
      <c r="C89" s="50">
        <v>4</v>
      </c>
      <c r="D89" s="50" t="s">
        <v>91</v>
      </c>
      <c r="E89" s="50">
        <v>204.55</v>
      </c>
      <c r="F89" s="61">
        <f t="shared" si="18"/>
        <v>214.7775</v>
      </c>
      <c r="G89" s="61">
        <f t="shared" si="19"/>
        <v>194.32250000000002</v>
      </c>
      <c r="H89" s="50">
        <v>215</v>
      </c>
      <c r="I89" s="50">
        <f t="shared" si="20"/>
        <v>818.2</v>
      </c>
      <c r="J89" s="50">
        <f t="shared" si="16"/>
        <v>41.799999999999955</v>
      </c>
      <c r="K89" s="62">
        <f t="shared" si="17"/>
        <v>5.1087753605475378E-2</v>
      </c>
      <c r="L89" s="10">
        <f t="shared" si="14"/>
        <v>1</v>
      </c>
      <c r="M89" s="6">
        <v>45673</v>
      </c>
      <c r="N89" s="7">
        <f t="shared" si="21"/>
        <v>5.1087753605475378E-2</v>
      </c>
      <c r="P89" s="53">
        <f t="shared" si="15"/>
        <v>0</v>
      </c>
    </row>
    <row r="90" spans="1:24" ht="15" thickBot="1">
      <c r="A90" s="37">
        <v>45685</v>
      </c>
      <c r="B90" s="1" t="s">
        <v>111</v>
      </c>
      <c r="C90" s="1">
        <v>5</v>
      </c>
      <c r="D90" s="1" t="s">
        <v>91</v>
      </c>
      <c r="E90" s="1">
        <v>57.05</v>
      </c>
      <c r="F90" s="4">
        <f t="shared" si="18"/>
        <v>59.902499999999996</v>
      </c>
      <c r="G90" s="4">
        <f t="shared" si="19"/>
        <v>54.197499999999998</v>
      </c>
      <c r="H90" s="1">
        <v>67</v>
      </c>
      <c r="I90" s="1">
        <f t="shared" si="20"/>
        <v>285.25</v>
      </c>
      <c r="J90" s="1">
        <f t="shared" si="16"/>
        <v>49.750000000000014</v>
      </c>
      <c r="K90" s="2">
        <f t="shared" si="17"/>
        <v>0.1744084136722174</v>
      </c>
      <c r="L90" s="10">
        <f t="shared" si="14"/>
        <v>0</v>
      </c>
      <c r="N90" s="7">
        <f t="shared" si="21"/>
        <v>0</v>
      </c>
      <c r="P90" s="53">
        <f t="shared" si="15"/>
        <v>0</v>
      </c>
    </row>
    <row r="91" spans="1:24" ht="15" thickBot="1">
      <c r="A91" s="37">
        <v>45687</v>
      </c>
      <c r="B91" s="50" t="s">
        <v>112</v>
      </c>
      <c r="C91" s="50">
        <v>8</v>
      </c>
      <c r="D91" s="50" t="s">
        <v>91</v>
      </c>
      <c r="E91" s="50">
        <v>39.5</v>
      </c>
      <c r="F91" s="61">
        <f t="shared" si="18"/>
        <v>41.475000000000001</v>
      </c>
      <c r="G91" s="61">
        <f t="shared" si="19"/>
        <v>37.524999999999999</v>
      </c>
      <c r="H91" s="50">
        <v>39.85</v>
      </c>
      <c r="I91" s="50">
        <f t="shared" si="20"/>
        <v>316</v>
      </c>
      <c r="J91" s="50">
        <f t="shared" si="16"/>
        <v>2.8000000000000114</v>
      </c>
      <c r="K91" s="62">
        <f t="shared" si="17"/>
        <v>8.8607594936709229E-3</v>
      </c>
      <c r="L91" s="10">
        <f t="shared" si="14"/>
        <v>1</v>
      </c>
      <c r="M91" s="6">
        <v>45688</v>
      </c>
      <c r="N91" s="7">
        <f t="shared" si="21"/>
        <v>8.8607594936709229E-3</v>
      </c>
      <c r="P91" s="53">
        <f t="shared" si="15"/>
        <v>0</v>
      </c>
      <c r="U91" s="68"/>
    </row>
    <row r="92" spans="1:24" ht="15" thickBot="1">
      <c r="A92" s="37" t="s">
        <v>113</v>
      </c>
      <c r="B92" s="1" t="s">
        <v>114</v>
      </c>
      <c r="C92" s="1">
        <v>12</v>
      </c>
      <c r="D92" s="1" t="s">
        <v>91</v>
      </c>
      <c r="E92" s="1">
        <v>171.29</v>
      </c>
      <c r="F92" s="4">
        <f t="shared" si="18"/>
        <v>179.8545</v>
      </c>
      <c r="G92" s="4">
        <f t="shared" si="19"/>
        <v>162.72549999999998</v>
      </c>
      <c r="H92" s="1">
        <v>344.9</v>
      </c>
      <c r="I92" s="1">
        <f t="shared" si="20"/>
        <v>2055.48</v>
      </c>
      <c r="J92" s="1">
        <f t="shared" si="16"/>
        <v>2083.3199999999997</v>
      </c>
      <c r="K92" s="2">
        <f t="shared" si="17"/>
        <v>1.013544281627649</v>
      </c>
      <c r="L92" s="10">
        <f t="shared" si="14"/>
        <v>0</v>
      </c>
      <c r="N92" s="7">
        <f t="shared" si="21"/>
        <v>0</v>
      </c>
      <c r="P92" s="53">
        <f>IF(MONTH(M92)=2, J92, 0)</f>
        <v>0</v>
      </c>
      <c r="Q92">
        <v>6000</v>
      </c>
      <c r="R92">
        <v>5.0000000000000001E-3</v>
      </c>
      <c r="S92" s="9">
        <v>188.4</v>
      </c>
      <c r="T92" s="9">
        <v>184</v>
      </c>
      <c r="U92">
        <f t="shared" ref="U92:U99" si="22">Q92*R92</f>
        <v>30</v>
      </c>
      <c r="V92">
        <f>ROUNDUP(U92/(S92-T92),0)</f>
        <v>7</v>
      </c>
      <c r="W92">
        <f>S92*V92</f>
        <v>1318.8</v>
      </c>
      <c r="X92">
        <f>W92/Q92</f>
        <v>0.2198</v>
      </c>
    </row>
    <row r="93" spans="1:24" ht="15" thickBot="1">
      <c r="A93" s="37">
        <v>45693</v>
      </c>
      <c r="B93" s="50" t="s">
        <v>95</v>
      </c>
      <c r="C93" s="50">
        <v>1</v>
      </c>
      <c r="D93" s="50" t="s">
        <v>91</v>
      </c>
      <c r="E93" s="50">
        <v>235.85</v>
      </c>
      <c r="F93" s="61">
        <f t="shared" si="18"/>
        <v>247.64249999999998</v>
      </c>
      <c r="G93" s="61">
        <f t="shared" si="19"/>
        <v>224.0575</v>
      </c>
      <c r="H93" s="50">
        <v>238.05</v>
      </c>
      <c r="I93" s="50">
        <f t="shared" si="20"/>
        <v>235.85</v>
      </c>
      <c r="J93" s="50">
        <f t="shared" si="16"/>
        <v>2.2000000000000171</v>
      </c>
      <c r="K93" s="62">
        <f t="shared" si="17"/>
        <v>9.3279626881493192E-3</v>
      </c>
      <c r="L93" s="10">
        <f t="shared" si="14"/>
        <v>1</v>
      </c>
      <c r="M93" s="6">
        <v>45694</v>
      </c>
      <c r="N93" s="7">
        <f t="shared" si="21"/>
        <v>9.3279626881493192E-3</v>
      </c>
      <c r="P93" s="53">
        <f t="shared" si="15"/>
        <v>2.2000000000000171</v>
      </c>
      <c r="Q93">
        <v>6000</v>
      </c>
      <c r="R93">
        <v>4.0000000000000001E-3</v>
      </c>
      <c r="S93" s="9">
        <v>235.85</v>
      </c>
      <c r="T93" s="9">
        <v>229</v>
      </c>
      <c r="U93">
        <f t="shared" si="22"/>
        <v>24</v>
      </c>
      <c r="V93">
        <f t="shared" ref="V93:V99" si="23">ROUNDUP(U93/(S93-T93),0)</f>
        <v>4</v>
      </c>
      <c r="W93">
        <f t="shared" ref="W93:W99" si="24">S93*V93</f>
        <v>943.4</v>
      </c>
      <c r="X93">
        <f t="shared" ref="X93:X99" si="25">W93/Q93</f>
        <v>0.15723333333333334</v>
      </c>
    </row>
    <row r="94" spans="1:24" ht="15" thickBot="1">
      <c r="A94" s="37" t="s">
        <v>115</v>
      </c>
      <c r="B94" s="50" t="s">
        <v>95</v>
      </c>
      <c r="C94" s="50">
        <v>11</v>
      </c>
      <c r="D94" s="50" t="s">
        <v>91</v>
      </c>
      <c r="E94" s="50">
        <v>206</v>
      </c>
      <c r="F94" s="61">
        <f t="shared" si="18"/>
        <v>216.3</v>
      </c>
      <c r="G94" s="61">
        <f t="shared" si="19"/>
        <v>195.7</v>
      </c>
      <c r="H94" s="50">
        <v>241</v>
      </c>
      <c r="I94" s="50">
        <f t="shared" si="20"/>
        <v>2266</v>
      </c>
      <c r="J94" s="50">
        <f t="shared" si="16"/>
        <v>385</v>
      </c>
      <c r="K94" s="62">
        <f t="shared" si="17"/>
        <v>0.16990291262135923</v>
      </c>
      <c r="L94" s="10">
        <f t="shared" ref="L94:L150" si="26">IF(M94&lt;&gt;"",1,0)</f>
        <v>0</v>
      </c>
      <c r="N94" s="7">
        <f t="shared" si="21"/>
        <v>0</v>
      </c>
      <c r="P94" s="53">
        <f t="shared" si="15"/>
        <v>0</v>
      </c>
      <c r="Q94">
        <v>6000</v>
      </c>
      <c r="R94">
        <v>5.0000000000000001E-3</v>
      </c>
      <c r="S94" s="9">
        <v>228.55</v>
      </c>
      <c r="T94" s="9">
        <v>222</v>
      </c>
      <c r="U94">
        <f t="shared" si="22"/>
        <v>30</v>
      </c>
      <c r="V94">
        <f t="shared" si="23"/>
        <v>5</v>
      </c>
      <c r="W94">
        <f t="shared" si="24"/>
        <v>1142.75</v>
      </c>
      <c r="X94">
        <f t="shared" si="25"/>
        <v>0.19045833333333334</v>
      </c>
    </row>
    <row r="95" spans="1:24" ht="15" thickBot="1">
      <c r="A95" s="37">
        <v>45695</v>
      </c>
      <c r="B95" s="50" t="s">
        <v>92</v>
      </c>
      <c r="C95" s="50">
        <v>2</v>
      </c>
      <c r="D95" s="50" t="s">
        <v>91</v>
      </c>
      <c r="E95" s="50">
        <v>166.15</v>
      </c>
      <c r="F95" s="61">
        <f t="shared" si="18"/>
        <v>174.45750000000001</v>
      </c>
      <c r="G95" s="61">
        <f t="shared" si="19"/>
        <v>157.8425</v>
      </c>
      <c r="H95" s="50">
        <v>171.13</v>
      </c>
      <c r="I95" s="50">
        <f t="shared" si="20"/>
        <v>332.3</v>
      </c>
      <c r="J95" s="50">
        <f t="shared" si="16"/>
        <v>9.9599999999999795</v>
      </c>
      <c r="K95" s="62">
        <f t="shared" si="17"/>
        <v>2.9972916039723078E-2</v>
      </c>
      <c r="L95" s="10">
        <f t="shared" si="26"/>
        <v>1</v>
      </c>
      <c r="M95" s="6">
        <v>45698</v>
      </c>
      <c r="N95" s="7">
        <f t="shared" si="21"/>
        <v>2.9972916039723078E-2</v>
      </c>
      <c r="P95" s="53">
        <f t="shared" si="15"/>
        <v>9.9599999999999795</v>
      </c>
      <c r="Q95">
        <v>6000</v>
      </c>
      <c r="R95">
        <v>4.0000000000000001E-3</v>
      </c>
      <c r="S95" s="9">
        <v>165.15</v>
      </c>
      <c r="T95" s="9">
        <v>162</v>
      </c>
      <c r="U95">
        <f t="shared" si="22"/>
        <v>24</v>
      </c>
      <c r="V95">
        <f t="shared" si="23"/>
        <v>8</v>
      </c>
      <c r="W95">
        <f t="shared" si="24"/>
        <v>1321.2</v>
      </c>
      <c r="X95">
        <f t="shared" si="25"/>
        <v>0.22020000000000001</v>
      </c>
    </row>
    <row r="96" spans="1:24" ht="15" thickBot="1">
      <c r="A96" s="49">
        <v>45698</v>
      </c>
      <c r="B96" s="50" t="s">
        <v>97</v>
      </c>
      <c r="C96" s="50">
        <v>5</v>
      </c>
      <c r="D96" s="50" t="s">
        <v>91</v>
      </c>
      <c r="E96" s="50">
        <v>253.23</v>
      </c>
      <c r="F96" s="61">
        <f t="shared" si="18"/>
        <v>265.89150000000001</v>
      </c>
      <c r="G96" s="61">
        <f t="shared" si="19"/>
        <v>240.5685</v>
      </c>
      <c r="H96" s="50">
        <v>261.5</v>
      </c>
      <c r="I96" s="50">
        <f t="shared" si="20"/>
        <v>1266.1499999999999</v>
      </c>
      <c r="J96" s="50">
        <f t="shared" si="16"/>
        <v>41.350000000000051</v>
      </c>
      <c r="K96" s="62">
        <f t="shared" si="17"/>
        <v>3.265805789203495E-2</v>
      </c>
      <c r="L96" s="10">
        <f t="shared" si="26"/>
        <v>1</v>
      </c>
      <c r="M96" s="6">
        <v>45728</v>
      </c>
      <c r="N96" s="7">
        <f t="shared" si="21"/>
        <v>3.265805789203495E-2</v>
      </c>
      <c r="P96" s="53">
        <f t="shared" si="15"/>
        <v>0</v>
      </c>
      <c r="Q96">
        <v>6000</v>
      </c>
      <c r="R96">
        <v>4.0000000000000001E-3</v>
      </c>
      <c r="S96" s="9">
        <v>248.5</v>
      </c>
      <c r="T96" s="9">
        <v>242.5</v>
      </c>
      <c r="U96">
        <f t="shared" si="22"/>
        <v>24</v>
      </c>
      <c r="V96">
        <f t="shared" si="23"/>
        <v>4</v>
      </c>
      <c r="W96">
        <f t="shared" si="24"/>
        <v>994</v>
      </c>
      <c r="X96">
        <f t="shared" si="25"/>
        <v>0.16566666666666666</v>
      </c>
    </row>
    <row r="97" spans="1:24" ht="15" thickBot="1">
      <c r="A97" s="49" t="s">
        <v>116</v>
      </c>
      <c r="B97" s="50" t="s">
        <v>98</v>
      </c>
      <c r="C97" s="50">
        <v>9</v>
      </c>
      <c r="D97" s="50" t="s">
        <v>91</v>
      </c>
      <c r="E97" s="50">
        <v>143.88</v>
      </c>
      <c r="F97" s="61">
        <f t="shared" si="18"/>
        <v>151.07399999999998</v>
      </c>
      <c r="G97" s="61">
        <f t="shared" si="19"/>
        <v>136.68600000000001</v>
      </c>
      <c r="H97" s="50">
        <v>130</v>
      </c>
      <c r="I97" s="50">
        <f t="shared" si="20"/>
        <v>1294.92</v>
      </c>
      <c r="J97" s="50">
        <f t="shared" si="16"/>
        <v>-124.91999999999996</v>
      </c>
      <c r="K97" s="62">
        <f t="shared" si="17"/>
        <v>-9.6469279955518461E-2</v>
      </c>
      <c r="L97" s="10">
        <f t="shared" si="26"/>
        <v>0</v>
      </c>
      <c r="N97" s="7">
        <f t="shared" si="21"/>
        <v>0</v>
      </c>
      <c r="P97" s="53">
        <f t="shared" si="15"/>
        <v>0</v>
      </c>
      <c r="Q97">
        <v>6000</v>
      </c>
      <c r="R97">
        <v>4.0000000000000001E-3</v>
      </c>
      <c r="S97" s="9">
        <v>172.35</v>
      </c>
      <c r="T97" s="9">
        <v>167.18</v>
      </c>
      <c r="U97">
        <f t="shared" si="22"/>
        <v>24</v>
      </c>
      <c r="V97">
        <f t="shared" si="23"/>
        <v>5</v>
      </c>
      <c r="W97">
        <f t="shared" si="24"/>
        <v>861.75</v>
      </c>
      <c r="X97">
        <f t="shared" si="25"/>
        <v>0.143625</v>
      </c>
    </row>
    <row r="98" spans="1:24" ht="15" thickBot="1">
      <c r="A98" s="37">
        <v>45713</v>
      </c>
      <c r="B98" s="50" t="s">
        <v>99</v>
      </c>
      <c r="C98" s="50">
        <v>5</v>
      </c>
      <c r="D98" s="50" t="s">
        <v>91</v>
      </c>
      <c r="E98" s="50">
        <v>118.39</v>
      </c>
      <c r="F98" s="61">
        <f t="shared" si="18"/>
        <v>124.3095</v>
      </c>
      <c r="G98" s="61">
        <f t="shared" si="19"/>
        <v>112.4705</v>
      </c>
      <c r="H98" s="50">
        <v>120.95</v>
      </c>
      <c r="I98" s="50">
        <f t="shared" si="20"/>
        <v>591.95000000000005</v>
      </c>
      <c r="J98" s="50">
        <f t="shared" si="16"/>
        <v>12.800000000000011</v>
      </c>
      <c r="K98" s="62">
        <f t="shared" si="17"/>
        <v>2.162344792634515E-2</v>
      </c>
      <c r="L98" s="10">
        <f t="shared" si="26"/>
        <v>0</v>
      </c>
      <c r="N98" s="7">
        <f t="shared" si="21"/>
        <v>0</v>
      </c>
      <c r="P98" s="53">
        <f t="shared" si="15"/>
        <v>0</v>
      </c>
      <c r="Q98">
        <v>6000</v>
      </c>
      <c r="R98">
        <v>4.0000000000000001E-3</v>
      </c>
      <c r="S98" s="9">
        <v>135</v>
      </c>
      <c r="T98" s="9">
        <v>105</v>
      </c>
      <c r="U98">
        <f t="shared" si="22"/>
        <v>24</v>
      </c>
      <c r="V98">
        <f t="shared" si="23"/>
        <v>1</v>
      </c>
      <c r="W98">
        <f t="shared" si="24"/>
        <v>135</v>
      </c>
      <c r="X98">
        <f t="shared" si="25"/>
        <v>2.2499999999999999E-2</v>
      </c>
    </row>
    <row r="99" spans="1:24">
      <c r="A99" s="49">
        <v>45713</v>
      </c>
      <c r="B99" s="50" t="s">
        <v>105</v>
      </c>
      <c r="C99" s="50">
        <v>2</v>
      </c>
      <c r="D99" s="50" t="s">
        <v>91</v>
      </c>
      <c r="E99" s="50">
        <v>240.3</v>
      </c>
      <c r="F99" s="61">
        <f t="shared" si="18"/>
        <v>252.315</v>
      </c>
      <c r="G99" s="61">
        <f t="shared" si="19"/>
        <v>228.28500000000003</v>
      </c>
      <c r="H99" s="50">
        <v>246.95</v>
      </c>
      <c r="I99" s="50">
        <f t="shared" si="20"/>
        <v>480.6</v>
      </c>
      <c r="J99" s="50">
        <f t="shared" si="16"/>
        <v>13.299999999999955</v>
      </c>
      <c r="K99" s="62">
        <f t="shared" si="17"/>
        <v>2.767374115688713E-2</v>
      </c>
      <c r="L99" s="10">
        <f t="shared" si="26"/>
        <v>1</v>
      </c>
      <c r="M99" s="6">
        <v>45740</v>
      </c>
      <c r="N99" s="7">
        <f t="shared" si="21"/>
        <v>2.767374115688713E-2</v>
      </c>
      <c r="P99" s="69">
        <f t="shared" si="15"/>
        <v>0</v>
      </c>
      <c r="Q99">
        <v>6000</v>
      </c>
      <c r="R99">
        <v>4.0000000000000001E-3</v>
      </c>
      <c r="S99" s="9">
        <v>103</v>
      </c>
      <c r="T99" s="9">
        <v>98</v>
      </c>
      <c r="U99">
        <f t="shared" si="22"/>
        <v>24</v>
      </c>
      <c r="V99">
        <f t="shared" si="23"/>
        <v>5</v>
      </c>
      <c r="W99">
        <f t="shared" si="24"/>
        <v>515</v>
      </c>
      <c r="X99">
        <f t="shared" si="25"/>
        <v>8.5833333333333331E-2</v>
      </c>
    </row>
    <row r="100" spans="1:24">
      <c r="A100" s="37">
        <v>45820</v>
      </c>
      <c r="B100" s="50" t="s">
        <v>117</v>
      </c>
      <c r="C100" s="50">
        <v>4</v>
      </c>
      <c r="D100" s="50" t="s">
        <v>91</v>
      </c>
      <c r="E100" s="50">
        <v>100.52</v>
      </c>
      <c r="F100" s="61">
        <f t="shared" si="18"/>
        <v>105.54599999999999</v>
      </c>
      <c r="G100" s="61">
        <f t="shared" si="19"/>
        <v>95.494</v>
      </c>
      <c r="H100" s="50">
        <v>99.55</v>
      </c>
      <c r="I100" s="50">
        <f t="shared" si="20"/>
        <v>402.08</v>
      </c>
      <c r="J100" s="50">
        <f t="shared" si="16"/>
        <v>-3.8799999999999955</v>
      </c>
      <c r="K100" s="62">
        <f t="shared" si="17"/>
        <v>-9.6498209311579684E-3</v>
      </c>
      <c r="L100" s="10">
        <f t="shared" si="26"/>
        <v>1</v>
      </c>
      <c r="M100" s="6">
        <v>45842</v>
      </c>
      <c r="N100" s="7">
        <f t="shared" si="21"/>
        <v>-9.6498209311579684E-3</v>
      </c>
      <c r="P100" s="69">
        <f t="shared" si="15"/>
        <v>0</v>
      </c>
    </row>
    <row r="101" spans="1:24">
      <c r="A101" s="37">
        <v>45821</v>
      </c>
      <c r="B101" s="50" t="s">
        <v>118</v>
      </c>
      <c r="C101" s="50">
        <v>4</v>
      </c>
      <c r="D101" s="50" t="s">
        <v>91</v>
      </c>
      <c r="E101" s="50">
        <v>93.8</v>
      </c>
      <c r="F101" s="61">
        <f t="shared" si="18"/>
        <v>98.49</v>
      </c>
      <c r="G101" s="61">
        <f t="shared" si="19"/>
        <v>89.11</v>
      </c>
      <c r="H101" s="50">
        <v>106.35</v>
      </c>
      <c r="I101" s="50">
        <f t="shared" si="20"/>
        <v>375.2</v>
      </c>
      <c r="J101" s="50">
        <f t="shared" si="16"/>
        <v>50.199999999999989</v>
      </c>
      <c r="K101" s="62">
        <f t="shared" si="17"/>
        <v>0.13379530916844348</v>
      </c>
      <c r="L101" s="10">
        <f t="shared" si="26"/>
        <v>1</v>
      </c>
      <c r="M101" s="6">
        <v>45852</v>
      </c>
      <c r="N101" s="7">
        <f t="shared" si="21"/>
        <v>0.13379530916844348</v>
      </c>
      <c r="P101" s="69">
        <f t="shared" si="15"/>
        <v>0</v>
      </c>
    </row>
    <row r="102" spans="1:24">
      <c r="A102" s="37">
        <v>45821</v>
      </c>
      <c r="B102" s="70" t="s">
        <v>99</v>
      </c>
      <c r="C102" s="70">
        <v>2</v>
      </c>
      <c r="D102" s="70" t="s">
        <v>91</v>
      </c>
      <c r="E102" s="70">
        <v>141.05000000000001</v>
      </c>
      <c r="F102" s="71">
        <f t="shared" si="18"/>
        <v>148.10250000000002</v>
      </c>
      <c r="G102" s="71">
        <f t="shared" si="19"/>
        <v>133.9975</v>
      </c>
      <c r="H102" s="70">
        <v>177.99</v>
      </c>
      <c r="I102" s="70">
        <f t="shared" si="20"/>
        <v>282.10000000000002</v>
      </c>
      <c r="J102" s="70">
        <f t="shared" si="16"/>
        <v>73.88</v>
      </c>
      <c r="K102" s="72">
        <f t="shared" si="17"/>
        <v>0.26189294576391348</v>
      </c>
      <c r="L102" s="10">
        <f t="shared" si="26"/>
        <v>0</v>
      </c>
      <c r="N102" s="7">
        <f t="shared" si="21"/>
        <v>0</v>
      </c>
    </row>
    <row r="103" spans="1:24">
      <c r="A103" s="37" t="s">
        <v>119</v>
      </c>
      <c r="B103" s="50" t="s">
        <v>120</v>
      </c>
      <c r="C103" s="50">
        <v>15</v>
      </c>
      <c r="D103" s="50" t="s">
        <v>91</v>
      </c>
      <c r="E103" s="50">
        <v>29.68</v>
      </c>
      <c r="F103" s="61">
        <f t="shared" si="18"/>
        <v>31.164000000000001</v>
      </c>
      <c r="G103" s="61">
        <f t="shared" si="19"/>
        <v>28.195999999999998</v>
      </c>
      <c r="H103" s="50">
        <v>31.17</v>
      </c>
      <c r="I103" s="50">
        <f t="shared" si="20"/>
        <v>445.2</v>
      </c>
      <c r="J103" s="50">
        <f t="shared" si="16"/>
        <v>22.35000000000003</v>
      </c>
      <c r="K103" s="62">
        <f t="shared" si="17"/>
        <v>5.0202156334231876E-2</v>
      </c>
      <c r="L103" s="10">
        <f t="shared" si="26"/>
        <v>1</v>
      </c>
      <c r="M103" s="6">
        <v>45854</v>
      </c>
      <c r="N103" s="7">
        <f t="shared" si="21"/>
        <v>5.0202156334231876E-2</v>
      </c>
    </row>
    <row r="104" spans="1:24">
      <c r="A104" s="37">
        <v>45847</v>
      </c>
      <c r="B104" s="50" t="s">
        <v>121</v>
      </c>
      <c r="C104" s="50">
        <v>5</v>
      </c>
      <c r="D104" s="50" t="s">
        <v>91</v>
      </c>
      <c r="E104" s="50">
        <v>46.73</v>
      </c>
      <c r="F104" s="61">
        <f t="shared" si="18"/>
        <v>49.066499999999998</v>
      </c>
      <c r="G104" s="61">
        <f t="shared" si="19"/>
        <v>44.393499999999996</v>
      </c>
      <c r="H104" s="50">
        <v>46.75</v>
      </c>
      <c r="I104" s="50">
        <f t="shared" si="20"/>
        <v>233.64999999999998</v>
      </c>
      <c r="J104" s="50">
        <f t="shared" si="16"/>
        <v>0.10000000000001563</v>
      </c>
      <c r="K104" s="62">
        <f t="shared" si="17"/>
        <v>4.279905842072144E-4</v>
      </c>
      <c r="L104" s="10">
        <f t="shared" si="26"/>
        <v>1</v>
      </c>
      <c r="M104" s="6">
        <v>45854</v>
      </c>
      <c r="N104" s="7">
        <f t="shared" si="21"/>
        <v>4.279905842072144E-4</v>
      </c>
    </row>
    <row r="105" spans="1:24">
      <c r="A105" s="37">
        <v>45848</v>
      </c>
      <c r="B105" s="50" t="s">
        <v>122</v>
      </c>
      <c r="C105" s="50">
        <v>3</v>
      </c>
      <c r="D105" s="50" t="s">
        <v>91</v>
      </c>
      <c r="E105" s="50">
        <v>215.45</v>
      </c>
      <c r="F105" s="61">
        <f t="shared" si="18"/>
        <v>226.2225</v>
      </c>
      <c r="G105" s="61">
        <f t="shared" si="19"/>
        <v>204.67749999999998</v>
      </c>
      <c r="H105" s="50">
        <v>220</v>
      </c>
      <c r="I105" s="50">
        <f t="shared" si="20"/>
        <v>646.34999999999991</v>
      </c>
      <c r="J105" s="50">
        <f t="shared" si="16"/>
        <v>13.650000000000034</v>
      </c>
      <c r="K105" s="62">
        <f t="shared" si="17"/>
        <v>2.1118588999767981E-2</v>
      </c>
      <c r="L105" s="10">
        <f t="shared" si="26"/>
        <v>1</v>
      </c>
      <c r="M105" s="6">
        <v>45863</v>
      </c>
      <c r="N105" s="7">
        <f t="shared" si="21"/>
        <v>2.1118588999767981E-2</v>
      </c>
    </row>
    <row r="106" spans="1:24">
      <c r="A106" s="37">
        <v>45848</v>
      </c>
      <c r="B106" s="50" t="s">
        <v>123</v>
      </c>
      <c r="C106" s="50">
        <v>4</v>
      </c>
      <c r="D106" s="50" t="s">
        <v>91</v>
      </c>
      <c r="E106" s="50">
        <v>197.42</v>
      </c>
      <c r="F106" s="61">
        <f t="shared" si="18"/>
        <v>207.291</v>
      </c>
      <c r="G106" s="61">
        <f t="shared" si="19"/>
        <v>187.54899999999998</v>
      </c>
      <c r="H106" s="50">
        <v>192</v>
      </c>
      <c r="I106" s="50">
        <f t="shared" si="20"/>
        <v>789.68</v>
      </c>
      <c r="J106" s="50">
        <f t="shared" si="16"/>
        <v>-21.67999999999995</v>
      </c>
      <c r="K106" s="62">
        <f t="shared" si="17"/>
        <v>-2.745415864654031E-2</v>
      </c>
      <c r="L106" s="10">
        <f t="shared" si="26"/>
        <v>1</v>
      </c>
      <c r="M106" s="6">
        <v>45854</v>
      </c>
      <c r="N106" s="7">
        <f t="shared" si="21"/>
        <v>-2.745415864654031E-2</v>
      </c>
      <c r="O106" s="8" t="s">
        <v>124</v>
      </c>
    </row>
    <row r="107" spans="1:24">
      <c r="A107" s="37">
        <v>45854</v>
      </c>
      <c r="B107" s="50" t="s">
        <v>125</v>
      </c>
      <c r="C107" s="50">
        <v>2</v>
      </c>
      <c r="D107" s="50" t="s">
        <v>91</v>
      </c>
      <c r="E107" s="50">
        <v>253.35</v>
      </c>
      <c r="F107" s="61">
        <f t="shared" si="18"/>
        <v>266.01749999999998</v>
      </c>
      <c r="G107" s="61">
        <f t="shared" si="19"/>
        <v>240.6825</v>
      </c>
      <c r="H107" s="50">
        <v>270.67</v>
      </c>
      <c r="I107" s="50">
        <f t="shared" si="20"/>
        <v>506.7</v>
      </c>
      <c r="J107" s="50">
        <f t="shared" si="16"/>
        <v>34.640000000000043</v>
      </c>
      <c r="K107" s="62">
        <f t="shared" si="17"/>
        <v>6.8363923426090475E-2</v>
      </c>
      <c r="L107" s="10">
        <f t="shared" si="26"/>
        <v>1</v>
      </c>
      <c r="M107" s="6">
        <v>45863</v>
      </c>
      <c r="N107" s="7">
        <f t="shared" si="21"/>
        <v>6.8363923426090475E-2</v>
      </c>
      <c r="O107" s="8">
        <f>49/6000</f>
        <v>8.1666666666666658E-3</v>
      </c>
    </row>
    <row r="108" spans="1:24">
      <c r="A108" s="37" t="s">
        <v>126</v>
      </c>
      <c r="B108" s="50" t="s">
        <v>108</v>
      </c>
      <c r="C108" s="50">
        <v>12</v>
      </c>
      <c r="D108" s="50" t="s">
        <v>91</v>
      </c>
      <c r="E108" s="50">
        <v>42.89</v>
      </c>
      <c r="F108" s="61">
        <f t="shared" si="18"/>
        <v>45.034500000000001</v>
      </c>
      <c r="G108" s="61">
        <f t="shared" si="19"/>
        <v>40.7455</v>
      </c>
      <c r="H108" s="50">
        <v>44.22</v>
      </c>
      <c r="I108" s="50">
        <f t="shared" si="20"/>
        <v>514.68000000000006</v>
      </c>
      <c r="J108" s="50">
        <f t="shared" si="16"/>
        <v>15.95999999999998</v>
      </c>
      <c r="K108" s="62">
        <f t="shared" si="17"/>
        <v>3.1009559337840949E-2</v>
      </c>
      <c r="L108" s="10">
        <f t="shared" si="26"/>
        <v>1</v>
      </c>
      <c r="M108" s="6">
        <v>45887</v>
      </c>
      <c r="N108" s="7">
        <f t="shared" si="21"/>
        <v>3.1009559337840949E-2</v>
      </c>
    </row>
    <row r="109" spans="1:24">
      <c r="A109" s="73">
        <v>45870</v>
      </c>
      <c r="B109" s="74" t="s">
        <v>118</v>
      </c>
      <c r="C109" s="74">
        <v>3</v>
      </c>
      <c r="D109" s="74" t="s">
        <v>91</v>
      </c>
      <c r="E109" s="74">
        <v>115.55</v>
      </c>
      <c r="F109" s="75">
        <f t="shared" si="18"/>
        <v>121.3275</v>
      </c>
      <c r="G109" s="75">
        <f t="shared" si="19"/>
        <v>109.77249999999999</v>
      </c>
      <c r="H109" s="74">
        <v>120.8</v>
      </c>
      <c r="I109" s="74">
        <f t="shared" si="20"/>
        <v>346.65</v>
      </c>
      <c r="J109" s="74">
        <f t="shared" si="16"/>
        <v>15.75</v>
      </c>
      <c r="K109" s="76">
        <f t="shared" si="17"/>
        <v>4.5434876676763304E-2</v>
      </c>
      <c r="L109" s="10">
        <f t="shared" si="26"/>
        <v>1</v>
      </c>
      <c r="M109" s="6">
        <v>45874</v>
      </c>
      <c r="N109" s="7">
        <f t="shared" si="21"/>
        <v>4.5434876676763304E-2</v>
      </c>
    </row>
    <row r="110" spans="1:24">
      <c r="A110" s="73">
        <v>45870</v>
      </c>
      <c r="B110" s="74" t="s">
        <v>120</v>
      </c>
      <c r="C110" s="74">
        <v>10</v>
      </c>
      <c r="D110" s="74" t="s">
        <v>91</v>
      </c>
      <c r="E110" s="74">
        <v>28.71</v>
      </c>
      <c r="F110" s="75">
        <f t="shared" si="18"/>
        <v>30.145500000000002</v>
      </c>
      <c r="G110" s="75">
        <f t="shared" si="19"/>
        <v>27.2745</v>
      </c>
      <c r="H110" s="74">
        <v>29.72</v>
      </c>
      <c r="I110" s="74">
        <f t="shared" si="20"/>
        <v>287.10000000000002</v>
      </c>
      <c r="J110" s="74">
        <f t="shared" si="16"/>
        <v>10.09999999999998</v>
      </c>
      <c r="K110" s="76">
        <f t="shared" si="17"/>
        <v>3.5179380006966146E-2</v>
      </c>
      <c r="L110" s="10">
        <f t="shared" si="26"/>
        <v>1</v>
      </c>
      <c r="M110" s="6">
        <v>45874</v>
      </c>
      <c r="N110" s="7">
        <f t="shared" si="21"/>
        <v>3.5179380006966146E-2</v>
      </c>
    </row>
    <row r="111" spans="1:24">
      <c r="A111" s="37" t="s">
        <v>127</v>
      </c>
      <c r="B111" s="50" t="s">
        <v>109</v>
      </c>
      <c r="C111" s="50">
        <v>5</v>
      </c>
      <c r="D111" s="50" t="s">
        <v>91</v>
      </c>
      <c r="E111" s="50">
        <v>165.5</v>
      </c>
      <c r="F111" s="61">
        <f t="shared" si="18"/>
        <v>173.77500000000001</v>
      </c>
      <c r="G111" s="61">
        <f t="shared" si="19"/>
        <v>157.22499999999999</v>
      </c>
      <c r="H111" s="50">
        <v>154</v>
      </c>
      <c r="I111" s="50">
        <f t="shared" si="20"/>
        <v>827.5</v>
      </c>
      <c r="J111" s="50">
        <f t="shared" si="16"/>
        <v>-57.5</v>
      </c>
      <c r="K111" s="62">
        <f t="shared" si="17"/>
        <v>-6.9486404833836862E-2</v>
      </c>
      <c r="L111" s="10">
        <f t="shared" si="26"/>
        <v>1</v>
      </c>
      <c r="M111" s="6">
        <v>45910</v>
      </c>
      <c r="N111" s="7">
        <f t="shared" si="21"/>
        <v>-6.9486404833836862E-2</v>
      </c>
      <c r="O111" s="52" t="s">
        <v>128</v>
      </c>
    </row>
    <row r="112" spans="1:24">
      <c r="A112" s="37" t="s">
        <v>129</v>
      </c>
      <c r="B112" s="50" t="s">
        <v>109</v>
      </c>
      <c r="C112" s="50">
        <v>5</v>
      </c>
      <c r="D112" s="50" t="s">
        <v>91</v>
      </c>
      <c r="E112" s="50">
        <v>158.35</v>
      </c>
      <c r="F112" s="61">
        <f t="shared" si="18"/>
        <v>166.26749999999998</v>
      </c>
      <c r="G112" s="61">
        <f t="shared" si="19"/>
        <v>150.4325</v>
      </c>
      <c r="H112" s="50">
        <v>150.62</v>
      </c>
      <c r="I112" s="50">
        <f t="shared" si="20"/>
        <v>791.75</v>
      </c>
      <c r="J112" s="50">
        <f t="shared" si="16"/>
        <v>-38.649999999999949</v>
      </c>
      <c r="K112" s="62">
        <f t="shared" si="17"/>
        <v>-4.8815914114303693E-2</v>
      </c>
      <c r="L112" s="10">
        <f t="shared" si="26"/>
        <v>1</v>
      </c>
      <c r="M112" s="6">
        <v>45918</v>
      </c>
      <c r="N112" s="7">
        <f t="shared" si="21"/>
        <v>-4.8815914114303693E-2</v>
      </c>
      <c r="O112" s="52"/>
    </row>
    <row r="113" spans="1:16">
      <c r="A113" s="37" t="s">
        <v>130</v>
      </c>
      <c r="B113" s="50" t="s">
        <v>131</v>
      </c>
      <c r="C113" s="50">
        <v>20</v>
      </c>
      <c r="D113" s="50" t="s">
        <v>91</v>
      </c>
      <c r="E113" s="50">
        <v>41.77</v>
      </c>
      <c r="F113" s="61">
        <f t="shared" si="18"/>
        <v>43.858500000000006</v>
      </c>
      <c r="G113" s="61">
        <f t="shared" si="19"/>
        <v>39.6815</v>
      </c>
      <c r="H113" s="50">
        <v>48.57</v>
      </c>
      <c r="I113" s="50">
        <f t="shared" si="20"/>
        <v>835.40000000000009</v>
      </c>
      <c r="J113" s="50">
        <f t="shared" si="16"/>
        <v>135.99999999999994</v>
      </c>
      <c r="K113" s="62">
        <f t="shared" si="17"/>
        <v>0.1627962652621498</v>
      </c>
      <c r="L113" s="10">
        <f t="shared" si="26"/>
        <v>1</v>
      </c>
      <c r="M113" s="6">
        <v>45957</v>
      </c>
      <c r="N113" s="7">
        <f t="shared" si="21"/>
        <v>0.1627962652621498</v>
      </c>
      <c r="O113" s="52" t="s">
        <v>132</v>
      </c>
    </row>
    <row r="114" spans="1:16">
      <c r="A114" s="49" t="s">
        <v>133</v>
      </c>
      <c r="B114" s="50" t="s">
        <v>134</v>
      </c>
      <c r="C114" s="50">
        <v>6</v>
      </c>
      <c r="D114" s="50" t="s">
        <v>91</v>
      </c>
      <c r="E114" s="50">
        <v>119.31</v>
      </c>
      <c r="F114" s="61">
        <f t="shared" si="18"/>
        <v>125.27550000000001</v>
      </c>
      <c r="G114" s="61">
        <f t="shared" si="19"/>
        <v>113.3445</v>
      </c>
      <c r="H114" s="50">
        <v>165</v>
      </c>
      <c r="I114" s="50">
        <f t="shared" si="20"/>
        <v>715.86</v>
      </c>
      <c r="J114" s="50">
        <f t="shared" si="16"/>
        <v>274.14</v>
      </c>
      <c r="K114" s="62">
        <f t="shared" si="17"/>
        <v>0.38295197384963536</v>
      </c>
      <c r="L114" s="10">
        <f t="shared" si="26"/>
        <v>1</v>
      </c>
      <c r="M114" s="6">
        <v>45918</v>
      </c>
      <c r="N114" s="7">
        <f t="shared" si="21"/>
        <v>0.38295197384963536</v>
      </c>
      <c r="O114" s="8" t="s">
        <v>135</v>
      </c>
    </row>
    <row r="115" spans="1:16">
      <c r="A115" s="37" t="s">
        <v>136</v>
      </c>
      <c r="B115" s="50" t="s">
        <v>137</v>
      </c>
      <c r="C115" s="50">
        <v>3</v>
      </c>
      <c r="D115" s="50" t="s">
        <v>91</v>
      </c>
      <c r="E115" s="50">
        <v>273</v>
      </c>
      <c r="F115" s="61">
        <f t="shared" si="18"/>
        <v>286.64999999999998</v>
      </c>
      <c r="G115" s="61">
        <f t="shared" si="19"/>
        <v>259.35000000000002</v>
      </c>
      <c r="H115" s="50">
        <v>298</v>
      </c>
      <c r="I115" s="50">
        <f t="shared" si="20"/>
        <v>819</v>
      </c>
      <c r="J115" s="50">
        <f t="shared" si="16"/>
        <v>75</v>
      </c>
      <c r="K115" s="62">
        <f t="shared" si="17"/>
        <v>9.1575091575091569E-2</v>
      </c>
      <c r="L115" s="10">
        <f t="shared" si="26"/>
        <v>1</v>
      </c>
      <c r="M115" s="6">
        <v>45988</v>
      </c>
      <c r="N115" s="7">
        <f t="shared" si="21"/>
        <v>9.1575091575091569E-2</v>
      </c>
      <c r="O115" s="52" t="s">
        <v>138</v>
      </c>
    </row>
    <row r="116" spans="1:16">
      <c r="A116" s="37" t="s">
        <v>139</v>
      </c>
      <c r="B116" s="50" t="s">
        <v>99</v>
      </c>
      <c r="C116" s="50">
        <v>6</v>
      </c>
      <c r="D116" s="50" t="s">
        <v>91</v>
      </c>
      <c r="E116" s="50">
        <v>169.76</v>
      </c>
      <c r="F116" s="61">
        <f t="shared" si="18"/>
        <v>178.24799999999999</v>
      </c>
      <c r="G116" s="61">
        <f t="shared" si="19"/>
        <v>161.27199999999999</v>
      </c>
      <c r="H116" s="50">
        <v>182.55</v>
      </c>
      <c r="I116" s="50">
        <f t="shared" si="20"/>
        <v>1018.56</v>
      </c>
      <c r="J116" s="50">
        <f t="shared" si="16"/>
        <v>76.740000000000123</v>
      </c>
      <c r="K116" s="62">
        <f t="shared" si="17"/>
        <v>7.5341658812441217E-2</v>
      </c>
      <c r="L116" s="10">
        <f t="shared" si="26"/>
        <v>1</v>
      </c>
      <c r="M116" s="6">
        <v>45989</v>
      </c>
      <c r="N116" s="7">
        <f t="shared" si="21"/>
        <v>7.5341658812441217E-2</v>
      </c>
      <c r="O116" s="52" t="s">
        <v>140</v>
      </c>
      <c r="P116">
        <v>30</v>
      </c>
    </row>
    <row r="117" spans="1:16">
      <c r="A117" s="37" t="s">
        <v>141</v>
      </c>
      <c r="B117" s="50" t="s">
        <v>142</v>
      </c>
      <c r="C117" s="50">
        <v>40</v>
      </c>
      <c r="D117" s="50" t="s">
        <v>91</v>
      </c>
      <c r="E117" s="50">
        <v>16.190000000000001</v>
      </c>
      <c r="F117" s="61">
        <f t="shared" si="18"/>
        <v>16.999500000000001</v>
      </c>
      <c r="G117" s="61">
        <f t="shared" si="19"/>
        <v>15.380500000000001</v>
      </c>
      <c r="H117" s="50">
        <v>17.8</v>
      </c>
      <c r="I117" s="50">
        <f t="shared" si="20"/>
        <v>647.6</v>
      </c>
      <c r="J117" s="50">
        <f t="shared" si="16"/>
        <v>64.399999999999977</v>
      </c>
      <c r="K117" s="62">
        <f t="shared" si="17"/>
        <v>9.9444101297096937E-2</v>
      </c>
      <c r="L117" s="10">
        <f t="shared" si="26"/>
        <v>1</v>
      </c>
      <c r="M117" s="6">
        <v>45938</v>
      </c>
      <c r="N117" s="7">
        <f t="shared" si="21"/>
        <v>9.9444101297096937E-2</v>
      </c>
      <c r="O117" s="52" t="s">
        <v>143</v>
      </c>
    </row>
    <row r="118" spans="1:16">
      <c r="A118" s="37">
        <v>45932</v>
      </c>
      <c r="B118" s="50" t="s">
        <v>118</v>
      </c>
      <c r="C118" s="50">
        <v>3</v>
      </c>
      <c r="D118" s="50" t="s">
        <v>91</v>
      </c>
      <c r="E118" s="50">
        <v>142.05000000000001</v>
      </c>
      <c r="F118" s="61">
        <f t="shared" si="18"/>
        <v>149.1525</v>
      </c>
      <c r="G118" s="61">
        <f t="shared" si="19"/>
        <v>134.94750000000002</v>
      </c>
      <c r="H118" s="50">
        <v>151.15</v>
      </c>
      <c r="I118" s="50">
        <f t="shared" si="20"/>
        <v>426.15000000000003</v>
      </c>
      <c r="J118" s="50">
        <f t="shared" si="16"/>
        <v>27.299999999999983</v>
      </c>
      <c r="K118" s="62">
        <f t="shared" si="17"/>
        <v>6.4061950017599387E-2</v>
      </c>
      <c r="L118" s="10">
        <f t="shared" si="26"/>
        <v>1</v>
      </c>
      <c r="M118" s="6">
        <v>45937</v>
      </c>
      <c r="N118" s="7">
        <f t="shared" si="21"/>
        <v>6.4061950017599387E-2</v>
      </c>
    </row>
    <row r="119" spans="1:16">
      <c r="A119" s="37">
        <v>45906</v>
      </c>
      <c r="B119" s="50" t="s">
        <v>99</v>
      </c>
      <c r="C119" s="50">
        <v>2</v>
      </c>
      <c r="D119" s="50" t="s">
        <v>91</v>
      </c>
      <c r="E119" s="50">
        <v>165</v>
      </c>
      <c r="F119" s="61">
        <f t="shared" si="18"/>
        <v>173.25</v>
      </c>
      <c r="G119" s="61">
        <f t="shared" si="19"/>
        <v>156.75</v>
      </c>
      <c r="H119" s="50">
        <v>188</v>
      </c>
      <c r="I119" s="50">
        <f t="shared" si="20"/>
        <v>330</v>
      </c>
      <c r="J119" s="50">
        <f t="shared" si="16"/>
        <v>46</v>
      </c>
      <c r="K119" s="62">
        <f t="shared" si="17"/>
        <v>0.1393939393939394</v>
      </c>
      <c r="L119" s="10">
        <f t="shared" si="26"/>
        <v>1</v>
      </c>
      <c r="M119" s="6">
        <v>45937</v>
      </c>
      <c r="N119" s="7">
        <f t="shared" si="21"/>
        <v>0.1393939393939394</v>
      </c>
    </row>
    <row r="120" spans="1:16">
      <c r="A120" s="37">
        <v>45899</v>
      </c>
      <c r="B120" s="50" t="s">
        <v>131</v>
      </c>
      <c r="C120" s="50">
        <v>10</v>
      </c>
      <c r="D120" s="50" t="s">
        <v>91</v>
      </c>
      <c r="E120" s="50">
        <v>44.5</v>
      </c>
      <c r="F120" s="61">
        <f t="shared" si="18"/>
        <v>46.725000000000001</v>
      </c>
      <c r="G120" s="61">
        <f t="shared" si="19"/>
        <v>42.274999999999999</v>
      </c>
      <c r="H120" s="50">
        <v>48.27</v>
      </c>
      <c r="I120" s="50">
        <f t="shared" si="20"/>
        <v>445</v>
      </c>
      <c r="J120" s="50">
        <f t="shared" si="16"/>
        <v>37.700000000000031</v>
      </c>
      <c r="K120" s="62">
        <f t="shared" si="17"/>
        <v>8.4719101123595569E-2</v>
      </c>
      <c r="L120" s="10">
        <f t="shared" si="26"/>
        <v>1</v>
      </c>
      <c r="M120" s="6">
        <v>45950</v>
      </c>
      <c r="N120" s="7">
        <f t="shared" si="21"/>
        <v>8.4719101123595569E-2</v>
      </c>
    </row>
    <row r="121" spans="1:16">
      <c r="A121" s="37">
        <v>45884</v>
      </c>
      <c r="B121" s="50" t="s">
        <v>137</v>
      </c>
      <c r="C121" s="50">
        <v>1</v>
      </c>
      <c r="D121" s="50" t="s">
        <v>91</v>
      </c>
      <c r="E121" s="50">
        <v>240</v>
      </c>
      <c r="F121" s="61">
        <f t="shared" si="18"/>
        <v>252</v>
      </c>
      <c r="G121" s="61">
        <f t="shared" si="19"/>
        <v>228</v>
      </c>
      <c r="H121" s="50">
        <v>267.5</v>
      </c>
      <c r="I121" s="50">
        <f t="shared" si="20"/>
        <v>240</v>
      </c>
      <c r="J121" s="50">
        <f t="shared" si="16"/>
        <v>27.5</v>
      </c>
      <c r="K121" s="62">
        <f t="shared" si="17"/>
        <v>0.11458333333333333</v>
      </c>
      <c r="L121" s="10">
        <f t="shared" si="26"/>
        <v>1</v>
      </c>
      <c r="M121" s="6">
        <v>45952</v>
      </c>
      <c r="N121" s="7">
        <f t="shared" si="21"/>
        <v>0.11458333333333333</v>
      </c>
    </row>
    <row r="122" spans="1:16">
      <c r="A122" s="37">
        <v>45940</v>
      </c>
      <c r="B122" s="50" t="s">
        <v>144</v>
      </c>
      <c r="C122" s="50">
        <v>5</v>
      </c>
      <c r="D122" s="50" t="s">
        <v>91</v>
      </c>
      <c r="E122" s="50">
        <v>84.25</v>
      </c>
      <c r="F122" s="61">
        <f t="shared" si="18"/>
        <v>88.462500000000006</v>
      </c>
      <c r="G122" s="61">
        <f t="shared" si="19"/>
        <v>80.037499999999994</v>
      </c>
      <c r="H122" s="50">
        <v>84.99</v>
      </c>
      <c r="I122" s="50">
        <f t="shared" si="20"/>
        <v>421.25</v>
      </c>
      <c r="J122" s="50">
        <f t="shared" si="16"/>
        <v>3.6999999999999744</v>
      </c>
      <c r="K122" s="62">
        <f t="shared" si="17"/>
        <v>8.7833827893174475E-3</v>
      </c>
      <c r="L122" s="10">
        <f t="shared" si="26"/>
        <v>1</v>
      </c>
      <c r="M122" s="6">
        <v>45953</v>
      </c>
      <c r="N122" s="7">
        <f t="shared" si="21"/>
        <v>8.7833827893174475E-3</v>
      </c>
      <c r="O122" s="8" t="s">
        <v>145</v>
      </c>
    </row>
    <row r="123" spans="1:16">
      <c r="A123" s="37" t="s">
        <v>146</v>
      </c>
      <c r="B123" s="70" t="s">
        <v>109</v>
      </c>
      <c r="C123" s="70">
        <v>3</v>
      </c>
      <c r="D123" s="70" t="s">
        <v>91</v>
      </c>
      <c r="E123" s="70">
        <v>194</v>
      </c>
      <c r="F123" s="71">
        <f t="shared" si="18"/>
        <v>203.7</v>
      </c>
      <c r="G123" s="71">
        <f t="shared" si="19"/>
        <v>184.3</v>
      </c>
      <c r="H123" s="70">
        <v>195</v>
      </c>
      <c r="I123" s="70">
        <f t="shared" si="20"/>
        <v>582</v>
      </c>
      <c r="J123" s="70">
        <f t="shared" si="16"/>
        <v>3</v>
      </c>
      <c r="K123" s="72">
        <f t="shared" si="17"/>
        <v>5.1546391752577319E-3</v>
      </c>
      <c r="L123" s="10" t="e">
        <f>IF(#REF!&lt;&gt;"",1,0)</f>
        <v>#REF!</v>
      </c>
      <c r="M123" s="77" t="s">
        <v>147</v>
      </c>
      <c r="N123" s="7" t="e">
        <f>IF(#REF!&lt;&gt;"",K123,0)</f>
        <v>#REF!</v>
      </c>
      <c r="O123" s="8" t="s">
        <v>145</v>
      </c>
      <c r="P123" s="64" t="s">
        <v>148</v>
      </c>
    </row>
    <row r="124" spans="1:16">
      <c r="A124" s="37" t="s">
        <v>149</v>
      </c>
      <c r="B124" s="1" t="s">
        <v>99</v>
      </c>
      <c r="C124" s="1">
        <v>8</v>
      </c>
      <c r="D124" s="1" t="s">
        <v>91</v>
      </c>
      <c r="E124" s="1">
        <v>180.5</v>
      </c>
      <c r="F124" s="4">
        <f t="shared" si="18"/>
        <v>189.52500000000001</v>
      </c>
      <c r="G124" s="4">
        <f t="shared" si="19"/>
        <v>171.47499999999999</v>
      </c>
      <c r="H124" s="1">
        <v>179</v>
      </c>
      <c r="I124" s="1">
        <f t="shared" si="20"/>
        <v>1444</v>
      </c>
      <c r="J124" s="1">
        <f t="shared" si="16"/>
        <v>-12</v>
      </c>
      <c r="K124" s="27">
        <f t="shared" si="17"/>
        <v>-8.3102493074792248E-3</v>
      </c>
      <c r="L124" s="10">
        <f>IF(M123&lt;&gt;"",1,0)</f>
        <v>1</v>
      </c>
      <c r="N124" s="7">
        <f>IF(M123&lt;&gt;"",K124,0)</f>
        <v>-8.3102493074792248E-3</v>
      </c>
      <c r="O124" s="8" t="s">
        <v>150</v>
      </c>
      <c r="P124" s="64" t="s">
        <v>140</v>
      </c>
    </row>
    <row r="125" spans="1:16">
      <c r="A125" s="37" t="s">
        <v>151</v>
      </c>
      <c r="B125" s="78" t="s">
        <v>131</v>
      </c>
      <c r="C125" s="78">
        <v>20</v>
      </c>
      <c r="D125" s="78" t="s">
        <v>91</v>
      </c>
      <c r="E125" s="78">
        <v>37</v>
      </c>
      <c r="F125" s="79">
        <f t="shared" si="18"/>
        <v>38.85</v>
      </c>
      <c r="G125" s="79">
        <f t="shared" si="19"/>
        <v>35.15</v>
      </c>
      <c r="H125" s="78">
        <v>31.25</v>
      </c>
      <c r="I125" s="78">
        <f t="shared" si="20"/>
        <v>740</v>
      </c>
      <c r="J125" s="78">
        <f t="shared" si="16"/>
        <v>-115</v>
      </c>
      <c r="K125" s="80">
        <f t="shared" si="17"/>
        <v>-0.1554054054054054</v>
      </c>
      <c r="L125" s="58">
        <f t="shared" si="26"/>
        <v>1</v>
      </c>
      <c r="M125" s="59">
        <v>46027</v>
      </c>
      <c r="N125" s="81">
        <f t="shared" si="21"/>
        <v>-0.1554054054054054</v>
      </c>
      <c r="O125" s="8" t="s">
        <v>152</v>
      </c>
      <c r="P125" s="64" t="s">
        <v>153</v>
      </c>
    </row>
    <row r="126" spans="1:16">
      <c r="A126" s="37" t="s">
        <v>154</v>
      </c>
      <c r="B126" s="70" t="s">
        <v>118</v>
      </c>
      <c r="C126" s="70">
        <v>5</v>
      </c>
      <c r="D126" s="70" t="s">
        <v>91</v>
      </c>
      <c r="E126" s="70">
        <v>131</v>
      </c>
      <c r="F126" s="71">
        <f t="shared" si="18"/>
        <v>137.55000000000001</v>
      </c>
      <c r="G126" s="71">
        <f t="shared" si="19"/>
        <v>124.45</v>
      </c>
      <c r="H126" s="70">
        <v>145</v>
      </c>
      <c r="I126" s="70">
        <f t="shared" si="20"/>
        <v>655</v>
      </c>
      <c r="J126" s="70">
        <f t="shared" si="16"/>
        <v>70</v>
      </c>
      <c r="K126" s="72">
        <f t="shared" si="17"/>
        <v>0.10687022900763359</v>
      </c>
      <c r="L126" s="82">
        <f t="shared" si="26"/>
        <v>1</v>
      </c>
      <c r="M126" s="6">
        <v>46048</v>
      </c>
      <c r="N126" s="7">
        <f t="shared" si="21"/>
        <v>0.10687022900763359</v>
      </c>
      <c r="O126" s="8" t="s">
        <v>152</v>
      </c>
    </row>
    <row r="127" spans="1:16">
      <c r="A127" s="37" t="s">
        <v>155</v>
      </c>
      <c r="B127" s="1" t="s">
        <v>110</v>
      </c>
      <c r="C127" s="1">
        <v>2</v>
      </c>
      <c r="D127" s="1" t="s">
        <v>91</v>
      </c>
      <c r="E127" s="1">
        <v>276.5</v>
      </c>
      <c r="F127" s="4">
        <f t="shared" si="18"/>
        <v>290.32499999999999</v>
      </c>
      <c r="G127" s="4">
        <f t="shared" si="19"/>
        <v>262.67500000000001</v>
      </c>
      <c r="H127" s="1">
        <v>326.79000000000002</v>
      </c>
      <c r="I127" s="1">
        <f t="shared" si="20"/>
        <v>553</v>
      </c>
      <c r="J127" s="1">
        <f t="shared" si="16"/>
        <v>100.58000000000004</v>
      </c>
      <c r="K127" s="2">
        <f t="shared" si="17"/>
        <v>0.18188065099457512</v>
      </c>
      <c r="L127" s="10">
        <f t="shared" si="26"/>
        <v>0</v>
      </c>
      <c r="N127" s="7">
        <f t="shared" si="21"/>
        <v>0</v>
      </c>
      <c r="O127" s="8" t="s">
        <v>152</v>
      </c>
      <c r="P127" s="64" t="s">
        <v>156</v>
      </c>
    </row>
    <row r="128" spans="1:16">
      <c r="A128" s="37">
        <v>45974</v>
      </c>
      <c r="B128" s="83" t="s">
        <v>142</v>
      </c>
      <c r="C128" s="83">
        <v>10</v>
      </c>
      <c r="D128" s="83" t="s">
        <v>91</v>
      </c>
      <c r="E128" s="83">
        <v>17.100000000000001</v>
      </c>
      <c r="F128" s="84">
        <f t="shared" si="18"/>
        <v>17.955000000000002</v>
      </c>
      <c r="G128" s="84">
        <f t="shared" si="19"/>
        <v>16.245000000000001</v>
      </c>
      <c r="H128" s="83">
        <v>15.73</v>
      </c>
      <c r="I128" s="83">
        <f t="shared" si="20"/>
        <v>171</v>
      </c>
      <c r="J128" s="83">
        <f t="shared" si="16"/>
        <v>-13.70000000000001</v>
      </c>
      <c r="K128" s="85">
        <f t="shared" si="17"/>
        <v>-8.0116959064327531E-2</v>
      </c>
      <c r="L128" s="10">
        <f t="shared" si="26"/>
        <v>1</v>
      </c>
      <c r="M128" s="6">
        <v>45988</v>
      </c>
      <c r="N128" s="7">
        <f t="shared" si="21"/>
        <v>-8.0116959064327531E-2</v>
      </c>
      <c r="O128" s="8" t="s">
        <v>152</v>
      </c>
    </row>
    <row r="129" spans="1:27">
      <c r="A129" s="37" t="s">
        <v>157</v>
      </c>
      <c r="B129" s="70" t="s">
        <v>98</v>
      </c>
      <c r="C129" s="70">
        <v>3</v>
      </c>
      <c r="D129" s="70" t="s">
        <v>91</v>
      </c>
      <c r="E129" s="70">
        <v>192.7</v>
      </c>
      <c r="F129" s="71">
        <f t="shared" si="18"/>
        <v>202.33499999999998</v>
      </c>
      <c r="G129" s="71">
        <f t="shared" si="19"/>
        <v>183.065</v>
      </c>
      <c r="H129" s="70">
        <v>198.84</v>
      </c>
      <c r="I129" s="70">
        <f t="shared" si="20"/>
        <v>578.09999999999991</v>
      </c>
      <c r="J129" s="70">
        <f t="shared" si="16"/>
        <v>18.420000000000044</v>
      </c>
      <c r="K129" s="72">
        <f t="shared" si="17"/>
        <v>3.1862999481058717E-2</v>
      </c>
      <c r="L129" s="10">
        <f t="shared" si="26"/>
        <v>1</v>
      </c>
      <c r="M129" s="6">
        <v>46010</v>
      </c>
      <c r="N129" s="7">
        <f t="shared" si="21"/>
        <v>3.1862999481058717E-2</v>
      </c>
      <c r="P129" s="64" t="s">
        <v>158</v>
      </c>
    </row>
    <row r="130" spans="1:27">
      <c r="A130" s="37">
        <v>46003</v>
      </c>
      <c r="B130" s="70" t="s">
        <v>159</v>
      </c>
      <c r="C130" s="70">
        <v>2</v>
      </c>
      <c r="D130" s="70" t="s">
        <v>91</v>
      </c>
      <c r="E130" s="70">
        <v>159</v>
      </c>
      <c r="F130" s="71">
        <f t="shared" si="18"/>
        <v>166.95</v>
      </c>
      <c r="G130" s="71">
        <f t="shared" si="19"/>
        <v>151.05000000000001</v>
      </c>
      <c r="H130" s="70">
        <v>172.16</v>
      </c>
      <c r="I130" s="70">
        <f t="shared" si="20"/>
        <v>318</v>
      </c>
      <c r="J130" s="70">
        <f t="shared" si="16"/>
        <v>26.319999999999993</v>
      </c>
      <c r="K130" s="72">
        <f t="shared" si="17"/>
        <v>8.2767295597484261E-2</v>
      </c>
      <c r="L130" s="10">
        <f t="shared" si="26"/>
        <v>1</v>
      </c>
      <c r="M130" s="6">
        <v>46011</v>
      </c>
      <c r="N130" s="7">
        <f t="shared" si="21"/>
        <v>8.2767295597484261E-2</v>
      </c>
    </row>
    <row r="131" spans="1:27">
      <c r="A131" s="37">
        <v>46003</v>
      </c>
      <c r="B131" s="83" t="s">
        <v>134</v>
      </c>
      <c r="C131" s="83">
        <v>2</v>
      </c>
      <c r="D131" s="83" t="s">
        <v>91</v>
      </c>
      <c r="E131" s="83">
        <v>253.55</v>
      </c>
      <c r="F131" s="84">
        <f t="shared" si="18"/>
        <v>266.22750000000002</v>
      </c>
      <c r="G131" s="84">
        <f t="shared" si="19"/>
        <v>240.8725</v>
      </c>
      <c r="H131" s="83">
        <v>226</v>
      </c>
      <c r="I131" s="83">
        <f t="shared" si="20"/>
        <v>507.1</v>
      </c>
      <c r="J131" s="83">
        <f t="shared" si="16"/>
        <v>-55.100000000000023</v>
      </c>
      <c r="K131" s="85">
        <f t="shared" si="17"/>
        <v>-0.10865706961151651</v>
      </c>
      <c r="L131" s="10">
        <f t="shared" si="26"/>
        <v>1</v>
      </c>
      <c r="M131" s="6">
        <v>46012</v>
      </c>
      <c r="N131" s="7">
        <f t="shared" si="21"/>
        <v>-0.10865706961151651</v>
      </c>
      <c r="P131" s="86" t="s">
        <v>160</v>
      </c>
      <c r="S131" s="87">
        <v>0.1</v>
      </c>
      <c r="T131" s="88">
        <v>0.1</v>
      </c>
    </row>
    <row r="132" spans="1:27">
      <c r="A132" s="37" t="s">
        <v>161</v>
      </c>
      <c r="B132" s="70" t="s">
        <v>162</v>
      </c>
      <c r="C132" s="70">
        <v>20</v>
      </c>
      <c r="D132" s="70" t="s">
        <v>91</v>
      </c>
      <c r="E132" s="70">
        <v>21</v>
      </c>
      <c r="F132" s="71">
        <f t="shared" si="18"/>
        <v>22.05</v>
      </c>
      <c r="G132" s="71">
        <f t="shared" si="19"/>
        <v>19.95</v>
      </c>
      <c r="H132" s="70">
        <v>21.18</v>
      </c>
      <c r="I132" s="70">
        <f t="shared" si="20"/>
        <v>420</v>
      </c>
      <c r="J132" s="70">
        <f t="shared" si="16"/>
        <v>3.5999999999999943</v>
      </c>
      <c r="K132" s="72">
        <f t="shared" si="17"/>
        <v>8.571428571428558E-3</v>
      </c>
      <c r="L132" s="10">
        <f t="shared" si="26"/>
        <v>1</v>
      </c>
      <c r="M132" s="6">
        <v>46050</v>
      </c>
      <c r="N132" s="7">
        <f t="shared" si="21"/>
        <v>8.571428571428558E-3</v>
      </c>
      <c r="P132" s="64"/>
      <c r="Q132">
        <v>6934</v>
      </c>
      <c r="R132">
        <v>5.0000000000000001E-3</v>
      </c>
      <c r="S132" s="9">
        <f t="shared" ref="S132:S157" si="27">(Y132*$S$131)+Y132</f>
        <v>23.1</v>
      </c>
      <c r="T132" s="9">
        <f t="shared" ref="T132:T157" si="28">Y132-(Y132*$T$131)</f>
        <v>18.899999999999999</v>
      </c>
      <c r="U132">
        <f t="shared" ref="U132:U157" si="29">R132*Q132</f>
        <v>34.67</v>
      </c>
      <c r="V132">
        <f t="shared" ref="V132:V157" si="30">ROUNDUP(U132/(Y132-T132),0)</f>
        <v>17</v>
      </c>
      <c r="W132">
        <f t="shared" ref="W132:W157" si="31">Y132*V132</f>
        <v>357</v>
      </c>
      <c r="X132">
        <f t="shared" ref="X132:X157" si="32">W132/Q132</f>
        <v>5.1485434092875683E-2</v>
      </c>
      <c r="Y132">
        <f>E132</f>
        <v>21</v>
      </c>
      <c r="Z132">
        <f t="shared" ref="Z132:Z135" si="33">(S132-Y132)*V132</f>
        <v>35.700000000000024</v>
      </c>
      <c r="AA132" t="s">
        <v>163</v>
      </c>
    </row>
    <row r="133" spans="1:27">
      <c r="A133" s="37"/>
      <c r="I133" s="1">
        <f t="shared" si="20"/>
        <v>0</v>
      </c>
      <c r="J133" s="1">
        <f>SUM(J122:J132)</f>
        <v>29.820000000000022</v>
      </c>
      <c r="K133" s="27"/>
      <c r="L133" s="10">
        <f t="shared" si="26"/>
        <v>0</v>
      </c>
      <c r="P133">
        <f>J133/Q133</f>
        <v>4.3005480242284426E-3</v>
      </c>
      <c r="Q133">
        <v>6934</v>
      </c>
      <c r="R133">
        <v>5.0000000000000001E-3</v>
      </c>
      <c r="S133" s="9">
        <f t="shared" si="27"/>
        <v>23.1</v>
      </c>
      <c r="T133" s="9">
        <f t="shared" si="28"/>
        <v>18.899999999999999</v>
      </c>
      <c r="U133">
        <f t="shared" si="29"/>
        <v>34.67</v>
      </c>
      <c r="V133">
        <f t="shared" si="30"/>
        <v>17</v>
      </c>
      <c r="W133">
        <f t="shared" si="31"/>
        <v>357</v>
      </c>
      <c r="X133">
        <f t="shared" si="32"/>
        <v>5.1485434092875683E-2</v>
      </c>
      <c r="Y133">
        <f>E132</f>
        <v>21</v>
      </c>
      <c r="Z133">
        <f t="shared" si="33"/>
        <v>35.700000000000024</v>
      </c>
    </row>
    <row r="134" spans="1:27">
      <c r="A134" s="37">
        <v>46051</v>
      </c>
      <c r="B134" s="78" t="s">
        <v>164</v>
      </c>
      <c r="C134" s="78">
        <v>9</v>
      </c>
      <c r="D134" s="78" t="s">
        <v>91</v>
      </c>
      <c r="E134" s="78">
        <v>83.55</v>
      </c>
      <c r="F134" s="79">
        <f t="shared" si="18"/>
        <v>87.727499999999992</v>
      </c>
      <c r="G134" s="79">
        <f t="shared" si="19"/>
        <v>79.372500000000002</v>
      </c>
      <c r="H134" s="78">
        <v>75</v>
      </c>
      <c r="I134" s="78">
        <f t="shared" si="20"/>
        <v>751.94999999999993</v>
      </c>
      <c r="J134" s="78">
        <f t="shared" ref="J134:J157" si="34">(H134-E134)*C134</f>
        <v>-76.949999999999974</v>
      </c>
      <c r="K134" s="80">
        <f t="shared" ref="K134:K157" si="35">(H134-E134)/E134</f>
        <v>-0.10233393177737879</v>
      </c>
      <c r="L134" s="10">
        <f t="shared" si="26"/>
        <v>1</v>
      </c>
      <c r="M134" s="6">
        <v>46055</v>
      </c>
      <c r="Q134">
        <v>6934</v>
      </c>
      <c r="R134">
        <v>5.0000000000000001E-3</v>
      </c>
      <c r="S134" s="9">
        <f t="shared" si="27"/>
        <v>91.905000000000001</v>
      </c>
      <c r="T134" s="9">
        <f t="shared" si="28"/>
        <v>75.194999999999993</v>
      </c>
      <c r="U134">
        <f t="shared" si="29"/>
        <v>34.67</v>
      </c>
      <c r="V134">
        <f t="shared" si="30"/>
        <v>5</v>
      </c>
      <c r="W134">
        <f t="shared" si="31"/>
        <v>417.75</v>
      </c>
      <c r="X134">
        <f t="shared" si="32"/>
        <v>6.0246610902797808E-2</v>
      </c>
      <c r="Y134">
        <f t="shared" ref="Y134:Y157" si="36">E134</f>
        <v>83.55</v>
      </c>
      <c r="Z134">
        <f t="shared" si="33"/>
        <v>41.77500000000002</v>
      </c>
      <c r="AA134" t="s">
        <v>165</v>
      </c>
    </row>
    <row r="135" spans="1:27">
      <c r="A135" s="37">
        <v>46051</v>
      </c>
      <c r="B135" s="78" t="s">
        <v>166</v>
      </c>
      <c r="C135" s="78">
        <v>8</v>
      </c>
      <c r="D135" s="78" t="s">
        <v>91</v>
      </c>
      <c r="E135" s="78">
        <v>91.49</v>
      </c>
      <c r="F135" s="79">
        <f t="shared" si="18"/>
        <v>96.064499999999995</v>
      </c>
      <c r="G135" s="79">
        <f t="shared" si="19"/>
        <v>86.915499999999994</v>
      </c>
      <c r="H135" s="78">
        <v>90</v>
      </c>
      <c r="I135" s="78">
        <f t="shared" si="20"/>
        <v>731.92</v>
      </c>
      <c r="J135" s="78">
        <f t="shared" si="34"/>
        <v>-11.919999999999959</v>
      </c>
      <c r="K135" s="80">
        <f t="shared" si="35"/>
        <v>-1.6285932888840254E-2</v>
      </c>
      <c r="L135" s="10">
        <f t="shared" si="26"/>
        <v>1</v>
      </c>
      <c r="M135" s="6">
        <v>46055</v>
      </c>
      <c r="P135" s="89" t="s">
        <v>167</v>
      </c>
      <c r="Q135">
        <v>6934</v>
      </c>
      <c r="R135">
        <v>5.0000000000000001E-3</v>
      </c>
      <c r="S135" s="9">
        <f t="shared" si="27"/>
        <v>100.639</v>
      </c>
      <c r="T135" s="9">
        <f t="shared" si="28"/>
        <v>82.340999999999994</v>
      </c>
      <c r="U135">
        <f t="shared" si="29"/>
        <v>34.67</v>
      </c>
      <c r="V135">
        <f t="shared" si="30"/>
        <v>4</v>
      </c>
      <c r="W135">
        <f t="shared" si="31"/>
        <v>365.96</v>
      </c>
      <c r="X135">
        <f t="shared" si="32"/>
        <v>5.2777617536775304E-2</v>
      </c>
      <c r="Y135">
        <f t="shared" si="36"/>
        <v>91.49</v>
      </c>
      <c r="Z135">
        <f t="shared" si="33"/>
        <v>36.596000000000004</v>
      </c>
      <c r="AA135" t="s">
        <v>168</v>
      </c>
    </row>
    <row r="136" spans="1:27">
      <c r="A136" s="37">
        <v>46055</v>
      </c>
      <c r="B136" s="70" t="s">
        <v>169</v>
      </c>
      <c r="C136" s="70">
        <v>4</v>
      </c>
      <c r="D136" s="70"/>
      <c r="E136" s="70">
        <v>74.150000000000006</v>
      </c>
      <c r="F136" s="71">
        <f>(E136*$C$1)+E136</f>
        <v>77.857500000000002</v>
      </c>
      <c r="G136" s="71">
        <f>E136-(E136*$C$2)</f>
        <v>70.44250000000001</v>
      </c>
      <c r="H136" s="70">
        <v>78.77</v>
      </c>
      <c r="I136" s="70">
        <f>C136*E136</f>
        <v>296.60000000000002</v>
      </c>
      <c r="J136" s="70">
        <f t="shared" si="34"/>
        <v>18.479999999999961</v>
      </c>
      <c r="K136" s="72">
        <f t="shared" si="35"/>
        <v>6.2306136210384222E-2</v>
      </c>
      <c r="L136" s="10">
        <f t="shared" si="26"/>
        <v>1</v>
      </c>
      <c r="M136" s="6">
        <v>46055</v>
      </c>
      <c r="P136">
        <f>J136/Q136</f>
        <v>2.6651283530429713E-3</v>
      </c>
      <c r="Q136">
        <v>6934</v>
      </c>
      <c r="R136">
        <v>5.0000000000000001E-3</v>
      </c>
      <c r="S136" s="9">
        <f t="shared" si="27"/>
        <v>81.565000000000012</v>
      </c>
      <c r="T136" s="9">
        <f t="shared" si="28"/>
        <v>66.734999999999999</v>
      </c>
      <c r="U136">
        <f t="shared" si="29"/>
        <v>34.67</v>
      </c>
      <c r="V136">
        <f t="shared" si="30"/>
        <v>5</v>
      </c>
      <c r="W136">
        <f t="shared" si="31"/>
        <v>370.75</v>
      </c>
      <c r="X136">
        <f t="shared" si="32"/>
        <v>5.3468416498413614E-2</v>
      </c>
      <c r="Y136">
        <f t="shared" si="36"/>
        <v>74.150000000000006</v>
      </c>
      <c r="Z136">
        <f>(S136-Y136)*V136</f>
        <v>37.075000000000031</v>
      </c>
      <c r="AA136" t="s">
        <v>169</v>
      </c>
    </row>
    <row r="137" spans="1:27">
      <c r="A137" s="37">
        <v>46058</v>
      </c>
      <c r="B137" s="70" t="s">
        <v>118</v>
      </c>
      <c r="C137" s="70">
        <v>2</v>
      </c>
      <c r="D137" s="70" t="s">
        <v>91</v>
      </c>
      <c r="E137" s="70">
        <v>136</v>
      </c>
      <c r="F137" s="71">
        <f>(E137*$C$1)+E137</f>
        <v>142.80000000000001</v>
      </c>
      <c r="G137" s="71">
        <f>E137-(E137*$C$2)</f>
        <v>129.19999999999999</v>
      </c>
      <c r="H137" s="70">
        <v>137.55000000000001</v>
      </c>
      <c r="I137" s="70">
        <f>C137*E137</f>
        <v>272</v>
      </c>
      <c r="J137" s="70">
        <f t="shared" si="34"/>
        <v>3.1000000000000227</v>
      </c>
      <c r="K137" s="72">
        <f t="shared" si="35"/>
        <v>1.1397058823529496E-2</v>
      </c>
      <c r="L137" s="10">
        <f t="shared" si="26"/>
        <v>1</v>
      </c>
      <c r="M137" s="6">
        <v>46065</v>
      </c>
      <c r="Q137">
        <v>6934</v>
      </c>
      <c r="R137">
        <v>5.0000000000000001E-3</v>
      </c>
      <c r="S137" s="9">
        <f t="shared" si="27"/>
        <v>149.6</v>
      </c>
      <c r="T137" s="9">
        <f t="shared" si="28"/>
        <v>122.4</v>
      </c>
      <c r="U137">
        <f t="shared" si="29"/>
        <v>34.67</v>
      </c>
      <c r="V137">
        <f t="shared" si="30"/>
        <v>3</v>
      </c>
      <c r="W137">
        <f t="shared" si="31"/>
        <v>408</v>
      </c>
      <c r="X137">
        <f t="shared" si="32"/>
        <v>5.8840496106143642E-2</v>
      </c>
      <c r="Y137">
        <f t="shared" si="36"/>
        <v>136</v>
      </c>
      <c r="Z137">
        <f>(S137-Y137)*V137</f>
        <v>40.799999999999983</v>
      </c>
    </row>
    <row r="138" spans="1:27">
      <c r="A138" s="37">
        <v>46057</v>
      </c>
      <c r="B138" s="78" t="s">
        <v>159</v>
      </c>
      <c r="C138" s="78">
        <v>4</v>
      </c>
      <c r="D138" s="78" t="s">
        <v>91</v>
      </c>
      <c r="E138" s="78">
        <v>223</v>
      </c>
      <c r="F138" s="79">
        <f>(E138*$C$1)+E138</f>
        <v>234.15</v>
      </c>
      <c r="G138" s="79">
        <f>E138-(E138*$C$2)</f>
        <v>211.85</v>
      </c>
      <c r="H138" s="78">
        <v>219.7</v>
      </c>
      <c r="I138" s="78">
        <f>C138*E138</f>
        <v>892</v>
      </c>
      <c r="J138" s="78">
        <f t="shared" si="34"/>
        <v>-13.200000000000045</v>
      </c>
      <c r="K138" s="80">
        <f t="shared" si="35"/>
        <v>-1.4798206278026957E-2</v>
      </c>
      <c r="L138" s="10">
        <f t="shared" si="26"/>
        <v>0</v>
      </c>
      <c r="P138" s="64" t="s">
        <v>170</v>
      </c>
      <c r="Q138">
        <v>8500</v>
      </c>
      <c r="R138">
        <v>5.0000000000000001E-3</v>
      </c>
      <c r="S138" s="9">
        <f t="shared" si="27"/>
        <v>245.3</v>
      </c>
      <c r="T138" s="9">
        <f t="shared" si="28"/>
        <v>200.7</v>
      </c>
      <c r="U138">
        <f t="shared" si="29"/>
        <v>42.5</v>
      </c>
      <c r="V138">
        <f t="shared" si="30"/>
        <v>2</v>
      </c>
      <c r="W138">
        <f t="shared" si="31"/>
        <v>446</v>
      </c>
      <c r="X138">
        <f t="shared" si="32"/>
        <v>5.2470588235294116E-2</v>
      </c>
      <c r="Y138">
        <f t="shared" si="36"/>
        <v>223</v>
      </c>
      <c r="Z138">
        <f t="shared" ref="Z138:Z155" si="37">(S138-Y138)*V138</f>
        <v>44.600000000000023</v>
      </c>
    </row>
    <row r="139" spans="1:27">
      <c r="A139" s="37">
        <v>46065</v>
      </c>
      <c r="B139" s="70" t="s">
        <v>95</v>
      </c>
      <c r="C139" s="70">
        <v>5</v>
      </c>
      <c r="D139" s="70" t="s">
        <v>91</v>
      </c>
      <c r="E139" s="70">
        <v>201</v>
      </c>
      <c r="F139" s="71">
        <f t="shared" ref="F139:F143" si="38">(E139*$C$1)+E139</f>
        <v>211.05</v>
      </c>
      <c r="G139" s="71">
        <f t="shared" ref="G139:G143" si="39">E139-(E139*$C$2)</f>
        <v>190.95</v>
      </c>
      <c r="H139" s="70">
        <v>216.5</v>
      </c>
      <c r="I139" s="70">
        <f t="shared" ref="I139:I152" si="40">C139*E139</f>
        <v>1005</v>
      </c>
      <c r="J139" s="70">
        <f t="shared" si="34"/>
        <v>77.5</v>
      </c>
      <c r="K139" s="72">
        <f t="shared" si="35"/>
        <v>7.7114427860696513E-2</v>
      </c>
      <c r="L139" s="10">
        <f t="shared" si="26"/>
        <v>1</v>
      </c>
      <c r="M139" s="6">
        <v>46104</v>
      </c>
      <c r="P139" s="64" t="s">
        <v>171</v>
      </c>
      <c r="Q139">
        <v>8500</v>
      </c>
      <c r="R139">
        <v>5.0000000000000001E-3</v>
      </c>
      <c r="S139" s="9">
        <f t="shared" si="27"/>
        <v>221.1</v>
      </c>
      <c r="T139" s="9">
        <f t="shared" si="28"/>
        <v>180.9</v>
      </c>
      <c r="U139">
        <f t="shared" si="29"/>
        <v>42.5</v>
      </c>
      <c r="V139">
        <f t="shared" si="30"/>
        <v>3</v>
      </c>
      <c r="W139">
        <f t="shared" si="31"/>
        <v>603</v>
      </c>
      <c r="X139">
        <f t="shared" si="32"/>
        <v>7.094117647058823E-2</v>
      </c>
      <c r="Y139">
        <f t="shared" si="36"/>
        <v>201</v>
      </c>
      <c r="Z139">
        <f t="shared" si="37"/>
        <v>60.299999999999983</v>
      </c>
      <c r="AA139" t="s">
        <v>95</v>
      </c>
    </row>
    <row r="140" spans="1:27">
      <c r="A140" s="37">
        <v>46065</v>
      </c>
      <c r="B140" s="83" t="s">
        <v>123</v>
      </c>
      <c r="C140" s="83">
        <v>2</v>
      </c>
      <c r="D140" s="83" t="s">
        <v>91</v>
      </c>
      <c r="E140" s="78">
        <v>163.05000000000001</v>
      </c>
      <c r="F140" s="79">
        <f t="shared" si="38"/>
        <v>171.20250000000001</v>
      </c>
      <c r="G140" s="79">
        <f t="shared" si="39"/>
        <v>154.89750000000001</v>
      </c>
      <c r="H140" s="78">
        <v>152.35</v>
      </c>
      <c r="I140" s="83">
        <f t="shared" si="40"/>
        <v>326.10000000000002</v>
      </c>
      <c r="J140" s="83">
        <f t="shared" si="34"/>
        <v>-21.400000000000034</v>
      </c>
      <c r="K140" s="85">
        <f t="shared" si="35"/>
        <v>-6.5624041704998567E-2</v>
      </c>
      <c r="L140" s="10">
        <f t="shared" si="26"/>
        <v>1</v>
      </c>
      <c r="M140" s="6">
        <v>46071</v>
      </c>
      <c r="P140">
        <f>58/6934</f>
        <v>8.3645803288145363E-3</v>
      </c>
      <c r="Q140">
        <v>8500</v>
      </c>
      <c r="R140">
        <v>5.0000000000000001E-3</v>
      </c>
      <c r="S140" s="9">
        <f t="shared" si="27"/>
        <v>179.35500000000002</v>
      </c>
      <c r="T140" s="9">
        <f t="shared" si="28"/>
        <v>146.745</v>
      </c>
      <c r="U140">
        <f t="shared" si="29"/>
        <v>42.5</v>
      </c>
      <c r="V140">
        <f t="shared" si="30"/>
        <v>3</v>
      </c>
      <c r="W140">
        <f t="shared" si="31"/>
        <v>489.15000000000003</v>
      </c>
      <c r="X140">
        <f t="shared" si="32"/>
        <v>5.7547058823529416E-2</v>
      </c>
      <c r="Y140">
        <f t="shared" si="36"/>
        <v>163.05000000000001</v>
      </c>
      <c r="Z140">
        <f t="shared" si="37"/>
        <v>48.91500000000002</v>
      </c>
    </row>
    <row r="141" spans="1:27">
      <c r="A141" s="37">
        <v>46070</v>
      </c>
      <c r="B141" s="70" t="s">
        <v>98</v>
      </c>
      <c r="C141" s="70">
        <v>6</v>
      </c>
      <c r="D141" s="70" t="s">
        <v>91</v>
      </c>
      <c r="E141" s="70">
        <v>150.56</v>
      </c>
      <c r="F141" s="71">
        <f t="shared" si="38"/>
        <v>158.08799999999999</v>
      </c>
      <c r="G141" s="71">
        <f t="shared" si="39"/>
        <v>143.03200000000001</v>
      </c>
      <c r="H141" s="70">
        <v>152.27000000000001</v>
      </c>
      <c r="I141" s="70">
        <f t="shared" si="40"/>
        <v>903.36</v>
      </c>
      <c r="J141" s="70">
        <f t="shared" si="34"/>
        <v>10.260000000000048</v>
      </c>
      <c r="K141" s="72">
        <f t="shared" si="35"/>
        <v>1.1357598299681243E-2</v>
      </c>
      <c r="L141" s="10">
        <f t="shared" si="26"/>
        <v>0</v>
      </c>
      <c r="Q141">
        <v>8500</v>
      </c>
      <c r="R141">
        <v>5.0000000000000001E-3</v>
      </c>
      <c r="S141" s="9">
        <f t="shared" si="27"/>
        <v>165.61600000000001</v>
      </c>
      <c r="T141" s="9">
        <f t="shared" si="28"/>
        <v>135.50399999999999</v>
      </c>
      <c r="U141">
        <f t="shared" si="29"/>
        <v>42.5</v>
      </c>
      <c r="V141">
        <f t="shared" si="30"/>
        <v>3</v>
      </c>
      <c r="W141">
        <f t="shared" si="31"/>
        <v>451.68</v>
      </c>
      <c r="X141">
        <f t="shared" si="32"/>
        <v>5.3138823529411766E-2</v>
      </c>
      <c r="Y141">
        <f t="shared" si="36"/>
        <v>150.56</v>
      </c>
      <c r="Z141">
        <f t="shared" si="37"/>
        <v>45.168000000000035</v>
      </c>
    </row>
    <row r="142" spans="1:27">
      <c r="A142" s="37">
        <v>46068</v>
      </c>
      <c r="B142" s="70" t="s">
        <v>99</v>
      </c>
      <c r="C142" s="70">
        <v>2</v>
      </c>
      <c r="D142" s="70" t="s">
        <v>91</v>
      </c>
      <c r="E142" s="70">
        <v>177.5</v>
      </c>
      <c r="F142" s="71">
        <f t="shared" si="38"/>
        <v>186.375</v>
      </c>
      <c r="G142" s="71">
        <f t="shared" si="39"/>
        <v>168.625</v>
      </c>
      <c r="H142" s="70">
        <v>191.5</v>
      </c>
      <c r="I142" s="70">
        <f t="shared" si="40"/>
        <v>355</v>
      </c>
      <c r="J142" s="70">
        <f t="shared" si="34"/>
        <v>28</v>
      </c>
      <c r="K142" s="72">
        <f t="shared" si="35"/>
        <v>7.8873239436619724E-2</v>
      </c>
      <c r="L142" s="10">
        <f t="shared" si="26"/>
        <v>1</v>
      </c>
      <c r="M142" s="6">
        <v>46078</v>
      </c>
      <c r="Q142">
        <v>8500</v>
      </c>
      <c r="R142">
        <v>5.0000000000000001E-3</v>
      </c>
      <c r="S142" s="9">
        <f t="shared" si="27"/>
        <v>195.25</v>
      </c>
      <c r="T142" s="9">
        <f t="shared" si="28"/>
        <v>159.75</v>
      </c>
      <c r="U142">
        <f t="shared" si="29"/>
        <v>42.5</v>
      </c>
      <c r="V142">
        <f t="shared" si="30"/>
        <v>3</v>
      </c>
      <c r="W142">
        <f t="shared" si="31"/>
        <v>532.5</v>
      </c>
      <c r="X142">
        <f t="shared" si="32"/>
        <v>6.2647058823529417E-2</v>
      </c>
      <c r="Y142">
        <f t="shared" si="36"/>
        <v>177.5</v>
      </c>
      <c r="Z142">
        <f t="shared" si="37"/>
        <v>53.25</v>
      </c>
    </row>
    <row r="143" spans="1:27">
      <c r="A143" s="37">
        <v>46067</v>
      </c>
      <c r="B143" s="70" t="s">
        <v>111</v>
      </c>
      <c r="C143" s="70">
        <v>5</v>
      </c>
      <c r="D143" s="70" t="s">
        <v>91</v>
      </c>
      <c r="E143" s="70">
        <v>37.549999999999997</v>
      </c>
      <c r="F143" s="71">
        <f t="shared" si="38"/>
        <v>39.427499999999995</v>
      </c>
      <c r="G143" s="71">
        <f t="shared" si="39"/>
        <v>35.672499999999999</v>
      </c>
      <c r="H143" s="70">
        <v>38.549999999999997</v>
      </c>
      <c r="I143" s="70">
        <f t="shared" si="40"/>
        <v>187.75</v>
      </c>
      <c r="J143" s="70">
        <f t="shared" si="34"/>
        <v>5</v>
      </c>
      <c r="K143" s="72">
        <f t="shared" si="35"/>
        <v>2.6631158455392812E-2</v>
      </c>
      <c r="L143" s="10">
        <f t="shared" si="26"/>
        <v>1</v>
      </c>
      <c r="M143" s="6">
        <v>46073</v>
      </c>
      <c r="P143" s="90" t="s">
        <v>172</v>
      </c>
      <c r="Q143">
        <v>8500</v>
      </c>
      <c r="R143">
        <v>5.0000000000000001E-3</v>
      </c>
      <c r="S143" s="9">
        <f t="shared" si="27"/>
        <v>41.305</v>
      </c>
      <c r="T143" s="9">
        <f t="shared" si="28"/>
        <v>33.794999999999995</v>
      </c>
      <c r="U143">
        <f t="shared" si="29"/>
        <v>42.5</v>
      </c>
      <c r="V143">
        <f t="shared" si="30"/>
        <v>12</v>
      </c>
      <c r="W143">
        <f t="shared" si="31"/>
        <v>450.59999999999997</v>
      </c>
      <c r="X143">
        <f t="shared" si="32"/>
        <v>5.3011764705882349E-2</v>
      </c>
      <c r="Y143">
        <f t="shared" si="36"/>
        <v>37.549999999999997</v>
      </c>
      <c r="Z143">
        <f t="shared" si="37"/>
        <v>45.060000000000031</v>
      </c>
    </row>
    <row r="144" spans="1:27">
      <c r="A144" s="37">
        <v>46077</v>
      </c>
      <c r="B144" s="1" t="s">
        <v>105</v>
      </c>
      <c r="C144" s="1">
        <v>1</v>
      </c>
      <c r="D144" s="1" t="s">
        <v>91</v>
      </c>
      <c r="E144" s="1">
        <v>297</v>
      </c>
      <c r="H144" s="1">
        <v>309.92</v>
      </c>
      <c r="I144" s="1">
        <f t="shared" si="40"/>
        <v>297</v>
      </c>
      <c r="J144" s="1">
        <f t="shared" si="34"/>
        <v>12.920000000000016</v>
      </c>
      <c r="K144" s="27">
        <f t="shared" si="35"/>
        <v>4.3501683501683555E-2</v>
      </c>
      <c r="L144" s="10">
        <f t="shared" si="26"/>
        <v>0</v>
      </c>
      <c r="Q144">
        <v>8500</v>
      </c>
      <c r="R144">
        <v>5.0000000000000001E-3</v>
      </c>
      <c r="S144" s="9">
        <f t="shared" si="27"/>
        <v>326.7</v>
      </c>
      <c r="T144" s="9">
        <f t="shared" si="28"/>
        <v>267.3</v>
      </c>
      <c r="U144">
        <f t="shared" si="29"/>
        <v>42.5</v>
      </c>
      <c r="V144">
        <f t="shared" si="30"/>
        <v>2</v>
      </c>
      <c r="W144">
        <f t="shared" si="31"/>
        <v>594</v>
      </c>
      <c r="X144">
        <f t="shared" si="32"/>
        <v>6.9882352941176465E-2</v>
      </c>
      <c r="Y144">
        <f t="shared" si="36"/>
        <v>297</v>
      </c>
      <c r="Z144">
        <f t="shared" si="37"/>
        <v>59.399999999999977</v>
      </c>
    </row>
    <row r="145" spans="1:27">
      <c r="A145" s="37">
        <v>46086</v>
      </c>
      <c r="B145" s="1" t="s">
        <v>110</v>
      </c>
      <c r="C145" s="1">
        <v>1</v>
      </c>
      <c r="D145" s="1" t="s">
        <v>91</v>
      </c>
      <c r="E145" s="1">
        <v>332.37</v>
      </c>
      <c r="H145" s="1">
        <v>370.6</v>
      </c>
      <c r="I145" s="1">
        <f t="shared" si="40"/>
        <v>332.37</v>
      </c>
      <c r="J145" s="1">
        <f t="shared" si="34"/>
        <v>38.230000000000018</v>
      </c>
      <c r="K145" s="27">
        <f t="shared" si="35"/>
        <v>0.11502241477871053</v>
      </c>
      <c r="L145" s="10">
        <f t="shared" si="26"/>
        <v>0</v>
      </c>
      <c r="Q145">
        <v>8500</v>
      </c>
      <c r="R145">
        <v>5.0000000000000001E-3</v>
      </c>
      <c r="S145" s="9">
        <f t="shared" si="27"/>
        <v>365.60700000000003</v>
      </c>
      <c r="T145" s="9">
        <f t="shared" si="28"/>
        <v>299.13299999999998</v>
      </c>
      <c r="U145">
        <f t="shared" si="29"/>
        <v>42.5</v>
      </c>
      <c r="V145">
        <f t="shared" si="30"/>
        <v>2</v>
      </c>
      <c r="W145">
        <f t="shared" si="31"/>
        <v>664.74</v>
      </c>
      <c r="X145">
        <f t="shared" si="32"/>
        <v>7.820470588235294E-2</v>
      </c>
      <c r="Y145">
        <f t="shared" si="36"/>
        <v>332.37</v>
      </c>
      <c r="Z145">
        <f t="shared" si="37"/>
        <v>66.474000000000046</v>
      </c>
    </row>
    <row r="146" spans="1:27">
      <c r="A146" s="37">
        <v>46091</v>
      </c>
      <c r="B146" s="1" t="s">
        <v>102</v>
      </c>
      <c r="C146" s="1">
        <v>3</v>
      </c>
      <c r="D146" s="1" t="s">
        <v>91</v>
      </c>
      <c r="E146" s="1">
        <v>150.44999999999999</v>
      </c>
      <c r="H146" s="1">
        <v>177.8</v>
      </c>
      <c r="I146" s="1">
        <f t="shared" si="40"/>
        <v>451.34999999999997</v>
      </c>
      <c r="J146" s="1">
        <f t="shared" si="34"/>
        <v>82.050000000000068</v>
      </c>
      <c r="K146" s="27">
        <f t="shared" si="35"/>
        <v>0.18178796942505832</v>
      </c>
      <c r="L146" s="10">
        <f t="shared" si="26"/>
        <v>0</v>
      </c>
      <c r="Q146">
        <v>8500</v>
      </c>
      <c r="R146">
        <v>5.0000000000000001E-3</v>
      </c>
      <c r="S146" s="9">
        <f t="shared" si="27"/>
        <v>165.49499999999998</v>
      </c>
      <c r="T146" s="9">
        <f t="shared" si="28"/>
        <v>135.405</v>
      </c>
      <c r="U146">
        <f t="shared" si="29"/>
        <v>42.5</v>
      </c>
      <c r="V146">
        <f t="shared" si="30"/>
        <v>3</v>
      </c>
      <c r="W146">
        <f t="shared" si="31"/>
        <v>451.34999999999997</v>
      </c>
      <c r="X146">
        <f t="shared" si="32"/>
        <v>5.3099999999999994E-2</v>
      </c>
      <c r="Y146">
        <f t="shared" si="36"/>
        <v>150.44999999999999</v>
      </c>
      <c r="Z146">
        <f t="shared" si="37"/>
        <v>45.134999999999962</v>
      </c>
      <c r="AA146" t="s">
        <v>102</v>
      </c>
    </row>
    <row r="147" spans="1:27">
      <c r="A147" s="37">
        <v>46100</v>
      </c>
      <c r="B147" s="78" t="s">
        <v>173</v>
      </c>
      <c r="C147" s="78">
        <v>2</v>
      </c>
      <c r="D147" s="78" t="s">
        <v>91</v>
      </c>
      <c r="E147" s="78">
        <v>136.19999999999999</v>
      </c>
      <c r="F147" s="79"/>
      <c r="G147" s="79"/>
      <c r="H147" s="78">
        <v>124</v>
      </c>
      <c r="I147" s="78">
        <f t="shared" si="40"/>
        <v>272.39999999999998</v>
      </c>
      <c r="J147" s="78">
        <f t="shared" si="34"/>
        <v>-24.399999999999977</v>
      </c>
      <c r="K147" s="80">
        <f t="shared" si="35"/>
        <v>-8.9574155653450727E-2</v>
      </c>
      <c r="L147" s="10">
        <f t="shared" si="26"/>
        <v>1</v>
      </c>
      <c r="M147" s="6">
        <v>46101</v>
      </c>
      <c r="Q147">
        <v>8500</v>
      </c>
      <c r="R147">
        <v>5.0000000000000001E-3</v>
      </c>
      <c r="S147" s="9">
        <f t="shared" si="27"/>
        <v>149.82</v>
      </c>
      <c r="T147" s="9">
        <f t="shared" si="28"/>
        <v>122.57999999999998</v>
      </c>
      <c r="U147">
        <f t="shared" si="29"/>
        <v>42.5</v>
      </c>
      <c r="V147">
        <f t="shared" si="30"/>
        <v>4</v>
      </c>
      <c r="W147">
        <f t="shared" si="31"/>
        <v>544.79999999999995</v>
      </c>
      <c r="X147">
        <f t="shared" si="32"/>
        <v>6.4094117647058815E-2</v>
      </c>
      <c r="Y147">
        <f t="shared" si="36"/>
        <v>136.19999999999999</v>
      </c>
      <c r="Z147">
        <f t="shared" si="37"/>
        <v>54.480000000000018</v>
      </c>
    </row>
    <row r="148" spans="1:27">
      <c r="A148" s="37">
        <v>46101</v>
      </c>
      <c r="B148" s="1" t="s">
        <v>109</v>
      </c>
      <c r="C148" s="1">
        <v>3</v>
      </c>
      <c r="D148" s="1" t="s">
        <v>91</v>
      </c>
      <c r="E148" s="1">
        <v>201.83</v>
      </c>
      <c r="H148" s="1">
        <v>245.04</v>
      </c>
      <c r="I148" s="1">
        <f t="shared" si="40"/>
        <v>605.49</v>
      </c>
      <c r="J148" s="1">
        <f t="shared" si="34"/>
        <v>129.62999999999994</v>
      </c>
      <c r="K148" s="2">
        <f t="shared" si="35"/>
        <v>0.21409106673933498</v>
      </c>
      <c r="L148" s="10">
        <f t="shared" si="26"/>
        <v>0</v>
      </c>
      <c r="Q148">
        <v>8500</v>
      </c>
      <c r="R148">
        <v>5.0000000000000001E-3</v>
      </c>
      <c r="S148" s="9">
        <f t="shared" si="27"/>
        <v>222.01300000000001</v>
      </c>
      <c r="T148" s="9">
        <f t="shared" si="28"/>
        <v>181.64700000000002</v>
      </c>
      <c r="U148">
        <f t="shared" si="29"/>
        <v>42.5</v>
      </c>
      <c r="V148">
        <f t="shared" si="30"/>
        <v>3</v>
      </c>
      <c r="W148">
        <f t="shared" si="31"/>
        <v>605.49</v>
      </c>
      <c r="X148">
        <f t="shared" si="32"/>
        <v>7.1234117647058823E-2</v>
      </c>
      <c r="Y148">
        <f t="shared" si="36"/>
        <v>201.83</v>
      </c>
      <c r="Z148">
        <f t="shared" si="37"/>
        <v>60.548999999999978</v>
      </c>
      <c r="AA148" t="s">
        <v>131</v>
      </c>
    </row>
    <row r="149" spans="1:27">
      <c r="A149" s="37">
        <v>46101</v>
      </c>
      <c r="B149" s="70" t="s">
        <v>118</v>
      </c>
      <c r="C149" s="70">
        <v>2</v>
      </c>
      <c r="D149" s="70" t="s">
        <v>91</v>
      </c>
      <c r="E149" s="70">
        <v>132.19999999999999</v>
      </c>
      <c r="F149" s="71"/>
      <c r="G149" s="71"/>
      <c r="H149" s="70">
        <v>135.5</v>
      </c>
      <c r="I149" s="70">
        <f t="shared" si="40"/>
        <v>264.39999999999998</v>
      </c>
      <c r="J149" s="70">
        <f t="shared" si="34"/>
        <v>6.6000000000000227</v>
      </c>
      <c r="K149" s="72">
        <f t="shared" si="35"/>
        <v>2.496217851739797E-2</v>
      </c>
      <c r="L149" s="10">
        <f t="shared" si="26"/>
        <v>1</v>
      </c>
      <c r="M149" s="6">
        <v>46104</v>
      </c>
      <c r="Q149">
        <v>8500</v>
      </c>
      <c r="R149">
        <v>5.0000000000000001E-3</v>
      </c>
      <c r="S149" s="9">
        <f t="shared" si="27"/>
        <v>145.41999999999999</v>
      </c>
      <c r="T149" s="9">
        <f t="shared" si="28"/>
        <v>118.97999999999999</v>
      </c>
      <c r="U149">
        <f t="shared" si="29"/>
        <v>42.5</v>
      </c>
      <c r="V149">
        <f t="shared" si="30"/>
        <v>4</v>
      </c>
      <c r="W149">
        <f t="shared" si="31"/>
        <v>528.79999999999995</v>
      </c>
      <c r="X149">
        <f t="shared" si="32"/>
        <v>6.2211764705882348E-2</v>
      </c>
      <c r="Y149">
        <f t="shared" si="36"/>
        <v>132.19999999999999</v>
      </c>
      <c r="Z149">
        <f t="shared" si="37"/>
        <v>52.879999999999995</v>
      </c>
      <c r="AA149" t="s">
        <v>118</v>
      </c>
    </row>
    <row r="150" spans="1:27">
      <c r="A150" s="37" t="s">
        <v>174</v>
      </c>
      <c r="B150" s="1" t="s">
        <v>123</v>
      </c>
      <c r="C150" s="1">
        <v>6</v>
      </c>
      <c r="D150" s="1" t="s">
        <v>91</v>
      </c>
      <c r="E150" s="1">
        <v>156.74</v>
      </c>
      <c r="H150" s="1">
        <v>155.74</v>
      </c>
      <c r="I150" s="1">
        <f t="shared" si="40"/>
        <v>940.44</v>
      </c>
      <c r="J150" s="1">
        <f t="shared" si="34"/>
        <v>-6</v>
      </c>
      <c r="K150" s="2">
        <f t="shared" si="35"/>
        <v>-6.3799923440091867E-3</v>
      </c>
      <c r="L150" s="10">
        <f t="shared" si="26"/>
        <v>0</v>
      </c>
      <c r="Q150">
        <v>9000</v>
      </c>
      <c r="R150">
        <v>5.0000000000000001E-3</v>
      </c>
      <c r="S150" s="9">
        <f t="shared" si="27"/>
        <v>172.41400000000002</v>
      </c>
      <c r="T150" s="9">
        <f t="shared" si="28"/>
        <v>141.066</v>
      </c>
      <c r="U150">
        <f t="shared" si="29"/>
        <v>45</v>
      </c>
      <c r="V150">
        <f t="shared" si="30"/>
        <v>3</v>
      </c>
      <c r="W150">
        <f t="shared" si="31"/>
        <v>470.22</v>
      </c>
      <c r="X150">
        <f t="shared" si="32"/>
        <v>5.224666666666667E-2</v>
      </c>
      <c r="Y150">
        <f t="shared" si="36"/>
        <v>156.74</v>
      </c>
      <c r="Z150">
        <f t="shared" si="37"/>
        <v>47.02200000000002</v>
      </c>
      <c r="AA150" t="s">
        <v>123</v>
      </c>
    </row>
    <row r="151" spans="1:27">
      <c r="A151" s="37">
        <v>46086</v>
      </c>
      <c r="B151" s="70" t="s">
        <v>114</v>
      </c>
      <c r="C151" s="70">
        <v>1</v>
      </c>
      <c r="D151" s="70" t="s">
        <v>91</v>
      </c>
      <c r="E151" s="70">
        <v>301.5</v>
      </c>
      <c r="F151" s="71"/>
      <c r="G151" s="71"/>
      <c r="H151" s="70">
        <v>296</v>
      </c>
      <c r="I151" s="70">
        <f t="shared" si="40"/>
        <v>301.5</v>
      </c>
      <c r="J151" s="70">
        <f t="shared" si="34"/>
        <v>-5.5</v>
      </c>
      <c r="K151" s="72">
        <f t="shared" si="35"/>
        <v>-1.824212271973466E-2</v>
      </c>
      <c r="M151" s="6">
        <v>46104</v>
      </c>
      <c r="Q151">
        <v>9000</v>
      </c>
      <c r="R151">
        <v>5.0000000000000001E-3</v>
      </c>
      <c r="S151" s="9">
        <f t="shared" si="27"/>
        <v>331.65</v>
      </c>
      <c r="T151" s="9">
        <f t="shared" si="28"/>
        <v>271.35000000000002</v>
      </c>
      <c r="U151">
        <f t="shared" si="29"/>
        <v>45</v>
      </c>
      <c r="V151">
        <f t="shared" si="30"/>
        <v>2</v>
      </c>
      <c r="W151">
        <f t="shared" si="31"/>
        <v>603</v>
      </c>
      <c r="X151">
        <f t="shared" si="32"/>
        <v>6.7000000000000004E-2</v>
      </c>
      <c r="Y151">
        <f t="shared" si="36"/>
        <v>301.5</v>
      </c>
      <c r="Z151">
        <f t="shared" si="37"/>
        <v>60.299999999999955</v>
      </c>
    </row>
    <row r="152" spans="1:27">
      <c r="A152" s="37" t="s">
        <v>175</v>
      </c>
      <c r="B152" s="70" t="s">
        <v>98</v>
      </c>
      <c r="C152" s="70">
        <v>3</v>
      </c>
      <c r="D152" s="70" t="s">
        <v>91</v>
      </c>
      <c r="E152" s="70">
        <v>144.69999999999999</v>
      </c>
      <c r="F152" s="71"/>
      <c r="G152" s="71"/>
      <c r="H152" s="70">
        <v>151</v>
      </c>
      <c r="I152" s="70">
        <f t="shared" si="40"/>
        <v>434.09999999999997</v>
      </c>
      <c r="J152" s="70">
        <f t="shared" si="34"/>
        <v>18.900000000000034</v>
      </c>
      <c r="K152" s="72">
        <f t="shared" si="35"/>
        <v>4.3538355217691858E-2</v>
      </c>
      <c r="Q152">
        <v>9000</v>
      </c>
      <c r="R152">
        <v>5.0000000000000001E-3</v>
      </c>
      <c r="S152" s="9">
        <f t="shared" si="27"/>
        <v>159.16999999999999</v>
      </c>
      <c r="T152" s="9">
        <f t="shared" si="28"/>
        <v>130.22999999999999</v>
      </c>
      <c r="U152">
        <f t="shared" si="29"/>
        <v>45</v>
      </c>
      <c r="V152">
        <f t="shared" si="30"/>
        <v>4</v>
      </c>
      <c r="W152">
        <f t="shared" si="31"/>
        <v>578.79999999999995</v>
      </c>
      <c r="X152">
        <f t="shared" si="32"/>
        <v>6.4311111111111111E-2</v>
      </c>
      <c r="Y152">
        <f t="shared" si="36"/>
        <v>144.69999999999999</v>
      </c>
      <c r="Z152">
        <f t="shared" si="37"/>
        <v>57.879999999999995</v>
      </c>
      <c r="AA152" t="s">
        <v>98</v>
      </c>
    </row>
    <row r="153" spans="1:27">
      <c r="A153" s="91">
        <v>46105</v>
      </c>
      <c r="B153" s="70" t="s">
        <v>114</v>
      </c>
      <c r="C153" s="70">
        <v>2</v>
      </c>
      <c r="D153" s="70" t="s">
        <v>91</v>
      </c>
      <c r="E153" s="70">
        <v>292</v>
      </c>
      <c r="F153" s="71"/>
      <c r="G153" s="71"/>
      <c r="H153" s="70">
        <v>296</v>
      </c>
      <c r="I153" s="70">
        <v>291.7</v>
      </c>
      <c r="J153" s="70">
        <f t="shared" si="34"/>
        <v>8</v>
      </c>
      <c r="K153" s="72">
        <f t="shared" si="35"/>
        <v>1.3698630136986301E-2</v>
      </c>
      <c r="M153" s="6">
        <v>46118</v>
      </c>
      <c r="Q153">
        <v>9000</v>
      </c>
      <c r="R153">
        <v>5.0000000000000001E-3</v>
      </c>
      <c r="S153" s="9">
        <f t="shared" si="27"/>
        <v>321.2</v>
      </c>
      <c r="T153" s="9">
        <f t="shared" si="28"/>
        <v>262.8</v>
      </c>
      <c r="U153">
        <f t="shared" si="29"/>
        <v>45</v>
      </c>
      <c r="V153">
        <f t="shared" si="30"/>
        <v>2</v>
      </c>
      <c r="W153">
        <f t="shared" si="31"/>
        <v>584</v>
      </c>
      <c r="X153">
        <f t="shared" si="32"/>
        <v>6.4888888888888885E-2</v>
      </c>
      <c r="Y153">
        <f t="shared" si="36"/>
        <v>292</v>
      </c>
      <c r="Z153">
        <f t="shared" si="37"/>
        <v>58.399999999999977</v>
      </c>
    </row>
    <row r="154" spans="1:27">
      <c r="A154" s="37">
        <v>46108</v>
      </c>
      <c r="B154" s="70" t="s">
        <v>159</v>
      </c>
      <c r="C154" s="70">
        <v>3</v>
      </c>
      <c r="D154" s="70" t="s">
        <v>91</v>
      </c>
      <c r="E154" s="70">
        <v>211.37</v>
      </c>
      <c r="F154" s="71"/>
      <c r="G154" s="71"/>
      <c r="H154" s="70">
        <v>232</v>
      </c>
      <c r="I154" s="70"/>
      <c r="J154" s="70">
        <f t="shared" si="34"/>
        <v>61.889999999999986</v>
      </c>
      <c r="K154" s="72">
        <f t="shared" si="35"/>
        <v>9.7601362539622441E-2</v>
      </c>
      <c r="P154" s="64" t="s">
        <v>176</v>
      </c>
      <c r="Q154">
        <v>9000</v>
      </c>
      <c r="R154">
        <v>5.0000000000000001E-3</v>
      </c>
      <c r="S154" s="9">
        <f t="shared" si="27"/>
        <v>232.50700000000001</v>
      </c>
      <c r="T154" s="9">
        <f t="shared" si="28"/>
        <v>190.233</v>
      </c>
      <c r="U154">
        <f t="shared" si="29"/>
        <v>45</v>
      </c>
      <c r="V154">
        <f t="shared" si="30"/>
        <v>3</v>
      </c>
      <c r="W154">
        <f t="shared" si="31"/>
        <v>634.11</v>
      </c>
      <c r="X154">
        <f t="shared" si="32"/>
        <v>7.0456666666666667E-2</v>
      </c>
      <c r="Y154">
        <f t="shared" si="36"/>
        <v>211.37</v>
      </c>
      <c r="Z154">
        <f t="shared" si="37"/>
        <v>63.411000000000001</v>
      </c>
      <c r="AA154" t="s">
        <v>177</v>
      </c>
    </row>
    <row r="155" spans="1:27">
      <c r="A155" s="37">
        <v>46111</v>
      </c>
      <c r="B155" s="70" t="s">
        <v>178</v>
      </c>
      <c r="C155" s="70">
        <v>3</v>
      </c>
      <c r="D155" s="70" t="s">
        <v>91</v>
      </c>
      <c r="E155" s="70">
        <v>91</v>
      </c>
      <c r="F155" s="71"/>
      <c r="G155" s="71"/>
      <c r="H155" s="70">
        <v>95</v>
      </c>
      <c r="I155" s="70"/>
      <c r="J155" s="70">
        <f t="shared" si="34"/>
        <v>12</v>
      </c>
      <c r="K155" s="72">
        <f t="shared" si="35"/>
        <v>4.3956043956043959E-2</v>
      </c>
      <c r="L155" s="92"/>
      <c r="M155" s="6">
        <v>46112</v>
      </c>
      <c r="Q155">
        <v>9000</v>
      </c>
      <c r="R155">
        <v>5.0000000000000001E-3</v>
      </c>
      <c r="S155" s="9">
        <f t="shared" si="27"/>
        <v>100.1</v>
      </c>
      <c r="T155" s="9">
        <f t="shared" si="28"/>
        <v>81.900000000000006</v>
      </c>
      <c r="U155">
        <f t="shared" si="29"/>
        <v>45</v>
      </c>
      <c r="V155">
        <f t="shared" si="30"/>
        <v>5</v>
      </c>
      <c r="W155">
        <f t="shared" si="31"/>
        <v>455</v>
      </c>
      <c r="X155">
        <f t="shared" si="32"/>
        <v>5.0555555555555555E-2</v>
      </c>
      <c r="Y155">
        <f t="shared" si="36"/>
        <v>91</v>
      </c>
      <c r="Z155">
        <f t="shared" si="37"/>
        <v>45.499999999999972</v>
      </c>
      <c r="AA155" t="s">
        <v>178</v>
      </c>
    </row>
    <row r="156" spans="1:27">
      <c r="A156" s="37">
        <v>46111</v>
      </c>
      <c r="B156" s="1" t="s">
        <v>99</v>
      </c>
      <c r="C156" s="1">
        <v>1</v>
      </c>
      <c r="D156" s="1" t="s">
        <v>91</v>
      </c>
      <c r="E156" s="1">
        <v>165</v>
      </c>
      <c r="H156" s="1">
        <v>188.63</v>
      </c>
      <c r="J156" s="1">
        <f t="shared" si="34"/>
        <v>23.629999999999995</v>
      </c>
      <c r="K156" s="2">
        <f t="shared" si="35"/>
        <v>0.14321212121212118</v>
      </c>
      <c r="P156" s="90" t="s">
        <v>179</v>
      </c>
      <c r="Q156">
        <v>9000</v>
      </c>
      <c r="R156">
        <v>5.0000000000000001E-3</v>
      </c>
      <c r="S156" s="9">
        <f t="shared" si="27"/>
        <v>181.5</v>
      </c>
      <c r="T156" s="9">
        <f t="shared" si="28"/>
        <v>148.5</v>
      </c>
      <c r="U156">
        <f t="shared" si="29"/>
        <v>45</v>
      </c>
      <c r="V156">
        <f t="shared" si="30"/>
        <v>3</v>
      </c>
      <c r="W156">
        <f t="shared" si="31"/>
        <v>495</v>
      </c>
      <c r="X156">
        <f t="shared" si="32"/>
        <v>5.5E-2</v>
      </c>
      <c r="Y156">
        <f t="shared" si="36"/>
        <v>165</v>
      </c>
      <c r="AA156" t="s">
        <v>180</v>
      </c>
    </row>
    <row r="157" spans="1:27">
      <c r="A157" s="37">
        <v>46118</v>
      </c>
      <c r="B157" s="1" t="s">
        <v>39</v>
      </c>
      <c r="C157" s="1">
        <v>2</v>
      </c>
      <c r="D157" s="1" t="s">
        <v>91</v>
      </c>
      <c r="E157" s="1">
        <v>125.25</v>
      </c>
      <c r="H157" s="1">
        <v>126.79</v>
      </c>
      <c r="J157" s="1">
        <f t="shared" si="34"/>
        <v>3.0800000000000125</v>
      </c>
      <c r="K157" s="2">
        <f t="shared" si="35"/>
        <v>1.2295409181636777E-2</v>
      </c>
      <c r="Q157">
        <v>9000</v>
      </c>
      <c r="R157">
        <v>5.0000000000000001E-3</v>
      </c>
      <c r="S157" s="9">
        <f t="shared" si="27"/>
        <v>137.77500000000001</v>
      </c>
      <c r="T157" s="9">
        <f t="shared" si="28"/>
        <v>112.72499999999999</v>
      </c>
      <c r="U157">
        <f t="shared" si="29"/>
        <v>45</v>
      </c>
      <c r="V157">
        <f t="shared" si="30"/>
        <v>4</v>
      </c>
      <c r="W157">
        <f t="shared" si="31"/>
        <v>501</v>
      </c>
      <c r="X157">
        <f t="shared" si="32"/>
        <v>5.566666666666667E-2</v>
      </c>
      <c r="Y157">
        <f t="shared" si="36"/>
        <v>125.25</v>
      </c>
      <c r="AA157" t="s">
        <v>181</v>
      </c>
    </row>
  </sheetData>
  <hyperlinks>
    <hyperlink ref="D1" r:id="rId1" xr:uid="{02569BC5-8C83-4299-AEC9-5951A8570248}"/>
    <hyperlink ref="I1" r:id="rId2" xr:uid="{56D90F53-A993-4696-9973-4118FB74269A}"/>
    <hyperlink ref="D2" r:id="rId3" xr:uid="{4935E777-05F3-4EBC-B72B-133F860EE748}"/>
    <hyperlink ref="L1" r:id="rId4" xr:uid="{FDAA9D09-2C9F-40FC-A753-AD42F7B40DA2}"/>
    <hyperlink ref="A2" r:id="rId5" xr:uid="{BA6CCE80-6702-4E8D-A12C-5F7C11C51027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Choong</dc:creator>
  <cp:lastModifiedBy>Joe Choong</cp:lastModifiedBy>
  <dcterms:created xsi:type="dcterms:W3CDTF">2026-04-11T12:24:14Z</dcterms:created>
  <dcterms:modified xsi:type="dcterms:W3CDTF">2026-04-11T12:24:34Z</dcterms:modified>
</cp:coreProperties>
</file>